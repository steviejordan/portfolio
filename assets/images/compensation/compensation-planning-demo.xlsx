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C:\Users\Stevie\Documents\"/>
    </mc:Choice>
  </mc:AlternateContent>
  <xr:revisionPtr revIDLastSave="2" documentId="13_ncr:1_{C6CB0999-D9BA-4E2E-96A9-7A16EB46C401}" xr6:coauthVersionLast="47" xr6:coauthVersionMax="47" xr10:uidLastSave="{DC46C747-1FB8-43AC-A152-84731A40D457}"/>
  <bookViews>
    <workbookView xWindow="-120" yWindow="-120" windowWidth="29040" windowHeight="15840" xr2:uid="{FAFAFA40-58A2-4652-A78A-3E4805D9566F}"/>
  </bookViews>
  <sheets>
    <sheet name="Scott, Michael" sheetId="1" r:id="rId1"/>
  </sheets>
  <definedNames>
    <definedName name="__bookmark_1" localSheetId="0">'Scott, Michael'!$A$5:$P$5</definedName>
    <definedName name="__bookmark_1">#REF!</definedName>
    <definedName name="_xlnm._FilterDatabase" localSheetId="0" hidden="1">'Scott, Michael'!$A$5:$T$5</definedName>
    <definedName name="Slicer_Current_Record?11">#N/A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1" l="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6" i="1"/>
  <c r="P1" i="1"/>
  <c r="R1" i="1" s="1"/>
  <c r="S15" i="1"/>
  <c r="R15" i="1"/>
  <c r="S14" i="1"/>
  <c r="R14" i="1"/>
  <c r="R13" i="1"/>
  <c r="S13" i="1" s="1"/>
  <c r="S35" i="1"/>
  <c r="R35" i="1"/>
  <c r="S34" i="1"/>
  <c r="R34" i="1"/>
  <c r="S33" i="1"/>
  <c r="R33" i="1"/>
  <c r="R32" i="1"/>
  <c r="S32" i="1" s="1"/>
  <c r="S31" i="1"/>
  <c r="R31" i="1"/>
  <c r="S30" i="1"/>
  <c r="R30" i="1"/>
  <c r="S29" i="1"/>
  <c r="R29" i="1"/>
  <c r="R28" i="1"/>
  <c r="S28" i="1" s="1"/>
  <c r="S10" i="1"/>
  <c r="R10" i="1"/>
  <c r="S9" i="1"/>
  <c r="R9" i="1"/>
  <c r="R8" i="1"/>
  <c r="S8" i="1" s="1"/>
  <c r="S50" i="1"/>
  <c r="R50" i="1"/>
  <c r="S49" i="1"/>
  <c r="R49" i="1"/>
  <c r="R48" i="1"/>
  <c r="S48" i="1" s="1"/>
  <c r="S37" i="1"/>
  <c r="R37" i="1"/>
  <c r="R36" i="1"/>
  <c r="S36" i="1" s="1"/>
  <c r="S7" i="1"/>
  <c r="R7" i="1"/>
  <c r="R6" i="1"/>
  <c r="S6" i="1" s="1"/>
  <c r="R51" i="1"/>
  <c r="S51" i="1" s="1"/>
  <c r="S20" i="1"/>
  <c r="R20" i="1"/>
  <c r="R19" i="1"/>
  <c r="S19" i="1" s="1"/>
  <c r="S43" i="1"/>
  <c r="R43" i="1"/>
  <c r="S42" i="1"/>
  <c r="R42" i="1"/>
  <c r="R41" i="1"/>
  <c r="S41" i="1" s="1"/>
  <c r="S47" i="1"/>
  <c r="R47" i="1"/>
  <c r="S46" i="1"/>
  <c r="R46" i="1"/>
  <c r="S45" i="1"/>
  <c r="R45" i="1"/>
  <c r="R44" i="1"/>
  <c r="S44" i="1" s="1"/>
  <c r="S23" i="1"/>
  <c r="R23" i="1"/>
  <c r="S22" i="1"/>
  <c r="R22" i="1"/>
  <c r="R21" i="1"/>
  <c r="S21" i="1" s="1"/>
  <c r="R52" i="1"/>
  <c r="S52" i="1" s="1"/>
  <c r="S27" i="1"/>
  <c r="R27" i="1"/>
  <c r="S26" i="1"/>
  <c r="R26" i="1"/>
  <c r="S25" i="1"/>
  <c r="R25" i="1"/>
  <c r="R24" i="1"/>
  <c r="S24" i="1" s="1"/>
  <c r="S18" i="1"/>
  <c r="R18" i="1"/>
  <c r="S17" i="1"/>
  <c r="R17" i="1"/>
  <c r="R16" i="1"/>
  <c r="S16" i="1" s="1"/>
  <c r="R53" i="1"/>
  <c r="S53" i="1" s="1"/>
  <c r="R54" i="1"/>
  <c r="S54" i="1" s="1"/>
  <c r="S12" i="1"/>
  <c r="R12" i="1"/>
  <c r="R11" i="1"/>
  <c r="S11" i="1" s="1"/>
  <c r="S40" i="1"/>
  <c r="R40" i="1"/>
  <c r="S39" i="1"/>
  <c r="R39" i="1"/>
  <c r="R38" i="1"/>
  <c r="S38" i="1" s="1"/>
  <c r="R3" i="1" l="1"/>
  <c r="T1" i="1" s="1"/>
  <c r="T3" i="1" l="1"/>
</calcChain>
</file>

<file path=xl/sharedStrings.xml><?xml version="1.0" encoding="utf-8"?>
<sst xmlns="http://schemas.openxmlformats.org/spreadsheetml/2006/main" count="516" uniqueCount="128">
  <si>
    <t>Total 2023 Payroll</t>
  </si>
  <si>
    <t>Budget Amount</t>
  </si>
  <si>
    <t>Over/Under Budget</t>
  </si>
  <si>
    <t>Budget %</t>
  </si>
  <si>
    <t>Total Merit Awarded</t>
  </si>
  <si>
    <t>% of Payroll allocated</t>
  </si>
  <si>
    <t>NAME</t>
  </si>
  <si>
    <t>POSITION ID</t>
  </si>
  <si>
    <t>SALARY PLANNING MANAGER</t>
  </si>
  <si>
    <t>RATE TYPE</t>
  </si>
  <si>
    <t>HOME DEPARTMENT</t>
  </si>
  <si>
    <t>EFFECTIVE DATE</t>
  </si>
  <si>
    <t>Current Record?</t>
  </si>
  <si>
    <t>CURRENT SALARY (AS OF 01/2024)</t>
  </si>
  <si>
    <t>JOB TITLE</t>
  </si>
  <si>
    <t>ANNUAL SALARY</t>
  </si>
  <si>
    <t>CURRENCY</t>
  </si>
  <si>
    <t>AMOUNT CHANGE</t>
  </si>
  <si>
    <t>PERCENT CHANGE</t>
  </si>
  <si>
    <t>STANDARD HOURS</t>
  </si>
  <si>
    <t>CHANGE REASON</t>
  </si>
  <si>
    <t>HOURLY RATE</t>
  </si>
  <si>
    <t>% AWARDED</t>
  </si>
  <si>
    <t>AWARD AMOUNT</t>
  </si>
  <si>
    <t>NEW SALARY</t>
  </si>
  <si>
    <t>LEADER COMMENTS</t>
  </si>
  <si>
    <t>Bernard, Andy</t>
  </si>
  <si>
    <t>DMI000001</t>
  </si>
  <si>
    <t>Michael Scott</t>
  </si>
  <si>
    <t>Salary</t>
  </si>
  <si>
    <t>110010-Administration</t>
  </si>
  <si>
    <t>04/03/2023</t>
  </si>
  <si>
    <t>yes</t>
  </si>
  <si>
    <t>Regional Sales Manager</t>
  </si>
  <si>
    <t>USD</t>
  </si>
  <si>
    <t>PERF-Performance</t>
  </si>
  <si>
    <t>06/29/2020</t>
  </si>
  <si>
    <t>no</t>
  </si>
  <si>
    <t>NH-New Hire</t>
  </si>
  <si>
    <t>Hannon, Erin</t>
  </si>
  <si>
    <t>DMI000002</t>
  </si>
  <si>
    <t>360070-Operations</t>
  </si>
  <si>
    <t>Administrative Services Manager</t>
  </si>
  <si>
    <t>*PROMO-Promotion</t>
  </si>
  <si>
    <t>07/18/2022</t>
  </si>
  <si>
    <t>Administrative Services Specialist</t>
  </si>
  <si>
    <t>COL-Cost of Living</t>
  </si>
  <si>
    <t>Hourly</t>
  </si>
  <si>
    <t>05/01/2020</t>
  </si>
  <si>
    <t>Beasley, Pam</t>
  </si>
  <si>
    <t>DMI000003</t>
  </si>
  <si>
    <t>12/12/2022</t>
  </si>
  <si>
    <t>Office Administrator</t>
  </si>
  <si>
    <t>04/26/2021</t>
  </si>
  <si>
    <t>Office Coordinator</t>
  </si>
  <si>
    <t>Levinson, Jan</t>
  </si>
  <si>
    <t>DMI000004</t>
  </si>
  <si>
    <t>10/30/2023</t>
  </si>
  <si>
    <t>Vice President, Operations</t>
  </si>
  <si>
    <t>CI-Compensation Increase</t>
  </si>
  <si>
    <t>06/07/2021</t>
  </si>
  <si>
    <t>Halpert, Jim</t>
  </si>
  <si>
    <t>DMI000005</t>
  </si>
  <si>
    <t>01/02/2023</t>
  </si>
  <si>
    <t>Sales Manager</t>
  </si>
  <si>
    <t>Sales Associate</t>
  </si>
  <si>
    <t>08/09/2021</t>
  </si>
  <si>
    <t>Malone, Kevin</t>
  </si>
  <si>
    <t>DMI000006</t>
  </si>
  <si>
    <t>Senior Accountant</t>
  </si>
  <si>
    <t>08/16/2021</t>
  </si>
  <si>
    <t>Accountant</t>
  </si>
  <si>
    <t>Martinez, Oscar</t>
  </si>
  <si>
    <t>DMI000007</t>
  </si>
  <si>
    <t>09/07/2021</t>
  </si>
  <si>
    <t>Martin, Angela</t>
  </si>
  <si>
    <t>DMI000008</t>
  </si>
  <si>
    <t>07/04/2022</t>
  </si>
  <si>
    <t>09/13/2021</t>
  </si>
  <si>
    <t>Lewis, Gabe</t>
  </si>
  <si>
    <t>DMI000009</t>
  </si>
  <si>
    <t>Operations Manager</t>
  </si>
  <si>
    <t>09/05/2022</t>
  </si>
  <si>
    <t>Operations Specialist</t>
  </si>
  <si>
    <t>10/04/2021</t>
  </si>
  <si>
    <t>Flax, Holly</t>
  </si>
  <si>
    <t>DMI000010</t>
  </si>
  <si>
    <t>Human Resources Manager</t>
  </si>
  <si>
    <t>11/07/2022</t>
  </si>
  <si>
    <t>Human Resources Generalist</t>
  </si>
  <si>
    <t>10/25/2021</t>
  </si>
  <si>
    <t>Palmer, Meredeth</t>
  </si>
  <si>
    <t>DMI000011</t>
  </si>
  <si>
    <t>Supplier Relations Specialist</t>
  </si>
  <si>
    <t>01/18/2022</t>
  </si>
  <si>
    <t>Schrute, Dwight</t>
  </si>
  <si>
    <t>DMI000012</t>
  </si>
  <si>
    <t>09/25/2023</t>
  </si>
  <si>
    <t>Assistant Regional Manager</t>
  </si>
  <si>
    <t>Assistant to the Regional Manager</t>
  </si>
  <si>
    <t>03/07/2022</t>
  </si>
  <si>
    <t>Hudson, Stanley</t>
  </si>
  <si>
    <t>DMI000013</t>
  </si>
  <si>
    <t>05/12/2021</t>
  </si>
  <si>
    <t>Vance, Phyllis</t>
  </si>
  <si>
    <t>DMI000014</t>
  </si>
  <si>
    <t>Senior Sales Associate</t>
  </si>
  <si>
    <t>05/23/2022</t>
  </si>
  <si>
    <t>Philbin, Darryl</t>
  </si>
  <si>
    <t>DMI000015</t>
  </si>
  <si>
    <t>Warehouse Operations Manager</t>
  </si>
  <si>
    <t>Warehouse Associate</t>
  </si>
  <si>
    <t>05/31/2022</t>
  </si>
  <si>
    <t>Flenderson, Toby</t>
  </si>
  <si>
    <t>DMI000016</t>
  </si>
  <si>
    <t>11/21/2022</t>
  </si>
  <si>
    <t>Human Resources Business Partner</t>
  </si>
  <si>
    <t>Bratton, Creed</t>
  </si>
  <si>
    <t>DMI000017</t>
  </si>
  <si>
    <t>12/05/2022</t>
  </si>
  <si>
    <t>Quality Assurance Manager</t>
  </si>
  <si>
    <t>Howard, Ryan</t>
  </si>
  <si>
    <t>DMI000018</t>
  </si>
  <si>
    <t>IT Specialist</t>
  </si>
  <si>
    <t>Kapoor, Kelly</t>
  </si>
  <si>
    <t>DMI000019</t>
  </si>
  <si>
    <t>01/09/2023</t>
  </si>
  <si>
    <t>Customer Service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</si>
</sst>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5">
    <font>
      <sz val="11"/>
      <color theme="1"/>
      <name val="Calibri"/>
      <family val="2"/>
      <scheme val="minor"/>
    </font>
    <font>
      <sz val="11"/>
      <color theme="1"/>
      <name val="Calibri"/>
      <family val="2"/>
    </font>
    <font>
      <b/>
      <sz val="9"/>
      <name val="Proxima Nova Rg"/>
    </font>
    <font>
      <b/>
      <sz val="11"/>
      <color theme="1"/>
      <name val="Calibri"/>
      <family val="2"/>
    </font>
    <font>
      <sz val="9"/>
      <color rgb="FF000000"/>
      <name val="Proxima Nova Rg"/>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style="thin">
        <color theme="7" tint="0.39994506668294322"/>
      </right>
      <top style="thin">
        <color theme="7" tint="0.39994506668294322"/>
      </top>
      <bottom/>
      <diagonal/>
    </border>
    <border>
      <left style="thin">
        <color theme="7" tint="0.39994506668294322"/>
      </left>
      <right style="thin">
        <color theme="7" tint="0.39994506668294322"/>
      </right>
      <top/>
      <bottom/>
      <diagonal/>
    </border>
    <border>
      <left style="thin">
        <color theme="7" tint="0.39994506668294322"/>
      </left>
      <right style="thin">
        <color theme="7" tint="0.39994506668294322"/>
      </right>
      <top/>
      <bottom style="thin">
        <color theme="7" tint="0.39994506668294322"/>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49">
    <xf numFmtId="0" fontId="0" fillId="0" borderId="0" xfId="0"/>
    <xf numFmtId="0" fontId="1" fillId="0" borderId="0" xfId="3"/>
    <xf numFmtId="44" fontId="1" fillId="0" borderId="0" xfId="1" applyFont="1"/>
    <xf numFmtId="0" fontId="1" fillId="2" borderId="1" xfId="3" applyFill="1" applyBorder="1" applyAlignment="1">
      <alignment horizontal="center"/>
    </xf>
    <xf numFmtId="44" fontId="0" fillId="2" borderId="2" xfId="1" applyFont="1" applyFill="1" applyBorder="1" applyAlignment="1" applyProtection="1">
      <alignment horizontal="center"/>
    </xf>
    <xf numFmtId="10" fontId="0" fillId="2" borderId="1" xfId="2" applyNumberFormat="1" applyFont="1" applyFill="1" applyBorder="1" applyAlignment="1">
      <alignment horizontal="center"/>
    </xf>
    <xf numFmtId="0" fontId="1" fillId="2" borderId="0" xfId="3" applyFill="1" applyAlignment="1">
      <alignment horizontal="center"/>
    </xf>
    <xf numFmtId="9" fontId="0" fillId="2" borderId="0" xfId="2" applyFont="1" applyFill="1" applyAlignment="1" applyProtection="1">
      <alignment horizontal="center"/>
    </xf>
    <xf numFmtId="10" fontId="0" fillId="2" borderId="0" xfId="2" applyNumberFormat="1" applyFont="1" applyFill="1" applyAlignment="1">
      <alignment horizontal="center"/>
    </xf>
    <xf numFmtId="44" fontId="0" fillId="2" borderId="0" xfId="1" applyFont="1" applyFill="1" applyAlignment="1" applyProtection="1">
      <alignment horizontal="center"/>
    </xf>
    <xf numFmtId="10" fontId="0" fillId="2" borderId="2" xfId="2" applyNumberFormat="1" applyFont="1" applyFill="1" applyBorder="1" applyAlignment="1" applyProtection="1">
      <alignment horizontal="center"/>
    </xf>
    <xf numFmtId="10" fontId="0" fillId="2" borderId="2" xfId="2" applyNumberFormat="1" applyFont="1" applyFill="1" applyBorder="1" applyAlignment="1" applyProtection="1">
      <alignment horizontal="right"/>
    </xf>
    <xf numFmtId="10" fontId="1" fillId="0" borderId="0" xfId="2" applyNumberFormat="1" applyFont="1" applyAlignment="1">
      <alignment horizontal="center"/>
    </xf>
    <xf numFmtId="0" fontId="1" fillId="0" borderId="0" xfId="3" applyAlignment="1">
      <alignment horizontal="center"/>
    </xf>
    <xf numFmtId="0" fontId="2" fillId="3" borderId="0" xfId="3" applyFont="1" applyFill="1" applyAlignment="1">
      <alignment horizontal="left" vertical="top" wrapText="1"/>
    </xf>
    <xf numFmtId="0" fontId="2" fillId="3" borderId="0" xfId="3" applyFont="1" applyFill="1" applyAlignment="1">
      <alignment horizontal="right" vertical="top" wrapText="1"/>
    </xf>
    <xf numFmtId="0" fontId="2" fillId="3" borderId="0" xfId="3" applyFont="1" applyFill="1" applyAlignment="1">
      <alignment horizontal="center" vertical="top" wrapText="1"/>
    </xf>
    <xf numFmtId="10" fontId="3" fillId="4" borderId="0" xfId="2" applyNumberFormat="1" applyFont="1" applyFill="1" applyAlignment="1">
      <alignment horizontal="center" vertical="top"/>
    </xf>
    <xf numFmtId="0" fontId="3" fillId="4" borderId="0" xfId="3" applyFont="1" applyFill="1" applyAlignment="1">
      <alignment horizontal="center" vertical="top"/>
    </xf>
    <xf numFmtId="0" fontId="4" fillId="5" borderId="0" xfId="3" applyFont="1" applyFill="1" applyAlignment="1">
      <alignment horizontal="left" vertical="top" wrapText="1"/>
    </xf>
    <xf numFmtId="44" fontId="4" fillId="0" borderId="0" xfId="1" applyFont="1" applyBorder="1" applyAlignment="1">
      <alignment horizontal="left" vertical="top" wrapText="1"/>
    </xf>
    <xf numFmtId="0" fontId="4" fillId="5" borderId="0" xfId="3" applyFont="1" applyFill="1" applyAlignment="1">
      <alignment horizontal="center" vertical="top" wrapText="1"/>
    </xf>
    <xf numFmtId="44" fontId="1" fillId="5" borderId="0" xfId="3" applyNumberFormat="1" applyFill="1" applyAlignment="1">
      <alignment horizontal="center"/>
    </xf>
    <xf numFmtId="0" fontId="4" fillId="0" borderId="0" xfId="3" applyFont="1" applyAlignment="1">
      <alignment horizontal="left" vertical="top" wrapText="1"/>
    </xf>
    <xf numFmtId="0" fontId="4" fillId="0" borderId="0" xfId="3" applyFont="1" applyAlignment="1">
      <alignment horizontal="center" vertical="top" wrapText="1"/>
    </xf>
    <xf numFmtId="10" fontId="1" fillId="0" borderId="0" xfId="3" applyNumberFormat="1"/>
    <xf numFmtId="44" fontId="4" fillId="5" borderId="0" xfId="1" applyFont="1" applyFill="1" applyBorder="1" applyAlignment="1">
      <alignment horizontal="left" vertical="top" wrapText="1"/>
    </xf>
    <xf numFmtId="2" fontId="1" fillId="0" borderId="0" xfId="3" applyNumberFormat="1"/>
    <xf numFmtId="2" fontId="2" fillId="3" borderId="0" xfId="3" applyNumberFormat="1" applyFont="1" applyFill="1" applyAlignment="1">
      <alignment horizontal="right" vertical="top" wrapText="1"/>
    </xf>
    <xf numFmtId="2" fontId="4" fillId="5" borderId="0" xfId="3" applyNumberFormat="1" applyFont="1" applyFill="1" applyAlignment="1">
      <alignment horizontal="right" vertical="top" wrapText="1"/>
    </xf>
    <xf numFmtId="2" fontId="4" fillId="0" borderId="0" xfId="3" applyNumberFormat="1" applyFont="1" applyAlignment="1">
      <alignment horizontal="right" vertical="top" wrapText="1"/>
    </xf>
    <xf numFmtId="10" fontId="2" fillId="3" borderId="0" xfId="3" applyNumberFormat="1" applyFont="1" applyFill="1" applyAlignment="1">
      <alignment horizontal="right" vertical="top" wrapText="1"/>
    </xf>
    <xf numFmtId="10" fontId="4" fillId="5" borderId="0" xfId="3" applyNumberFormat="1" applyFont="1" applyFill="1" applyAlignment="1">
      <alignment horizontal="right" vertical="top" wrapText="1"/>
    </xf>
    <xf numFmtId="0" fontId="1" fillId="0" borderId="0" xfId="3" applyAlignment="1">
      <alignment horizontal="left"/>
    </xf>
    <xf numFmtId="10" fontId="4" fillId="0" borderId="0" xfId="3" applyNumberFormat="1" applyFont="1" applyAlignment="1">
      <alignment horizontal="right" vertical="top" wrapText="1"/>
    </xf>
    <xf numFmtId="164" fontId="4" fillId="5" borderId="0" xfId="3" applyNumberFormat="1" applyFont="1" applyFill="1" applyAlignment="1">
      <alignment horizontal="right" vertical="top" wrapText="1"/>
    </xf>
    <xf numFmtId="164" fontId="4" fillId="0" borderId="0" xfId="3" applyNumberFormat="1" applyFont="1" applyAlignment="1">
      <alignment horizontal="right" vertical="top" wrapText="1"/>
    </xf>
    <xf numFmtId="164" fontId="2" fillId="3" borderId="0" xfId="1" applyNumberFormat="1" applyFont="1" applyFill="1" applyAlignment="1">
      <alignment horizontal="right" vertical="top" wrapText="1"/>
    </xf>
    <xf numFmtId="164" fontId="4" fillId="5" borderId="0" xfId="1" applyNumberFormat="1" applyFont="1" applyFill="1" applyBorder="1" applyAlignment="1">
      <alignment horizontal="right" vertical="top" wrapText="1"/>
    </xf>
    <xf numFmtId="164" fontId="4" fillId="0" borderId="0" xfId="1" applyNumberFormat="1" applyFont="1" applyBorder="1" applyAlignment="1">
      <alignment horizontal="right" vertical="top" wrapText="1"/>
    </xf>
    <xf numFmtId="164" fontId="2" fillId="3" borderId="0" xfId="3" applyNumberFormat="1" applyFont="1" applyFill="1" applyAlignment="1">
      <alignment horizontal="left" vertical="top" wrapText="1"/>
    </xf>
    <xf numFmtId="10" fontId="1" fillId="6" borderId="3" xfId="2" applyNumberFormat="1" applyFont="1" applyFill="1" applyBorder="1" applyAlignment="1" applyProtection="1">
      <alignment horizontal="center"/>
      <protection locked="0"/>
    </xf>
    <xf numFmtId="10" fontId="1" fillId="6" borderId="4" xfId="2" applyNumberFormat="1" applyFont="1" applyFill="1" applyBorder="1" applyAlignment="1" applyProtection="1">
      <alignment horizontal="center"/>
      <protection locked="0"/>
    </xf>
    <xf numFmtId="10" fontId="1" fillId="6" borderId="5" xfId="2" applyNumberFormat="1" applyFont="1" applyFill="1" applyBorder="1" applyAlignment="1" applyProtection="1">
      <alignment horizontal="center"/>
      <protection locked="0"/>
    </xf>
    <xf numFmtId="10" fontId="1" fillId="6" borderId="6" xfId="2" applyNumberFormat="1" applyFont="1" applyFill="1" applyBorder="1" applyAlignment="1" applyProtection="1">
      <alignment horizontal="center"/>
      <protection locked="0"/>
    </xf>
    <xf numFmtId="0" fontId="1" fillId="6" borderId="3" xfId="3" applyFill="1" applyBorder="1" applyProtection="1">
      <protection locked="0"/>
    </xf>
    <xf numFmtId="0" fontId="1" fillId="6" borderId="4" xfId="3" applyFill="1" applyBorder="1" applyProtection="1">
      <protection locked="0"/>
    </xf>
    <xf numFmtId="0" fontId="1" fillId="6" borderId="5" xfId="3" applyFill="1" applyBorder="1" applyProtection="1">
      <protection locked="0"/>
    </xf>
    <xf numFmtId="0" fontId="1" fillId="6" borderId="6" xfId="3" applyFill="1" applyBorder="1" applyProtection="1">
      <protection locked="0"/>
    </xf>
  </cellXfs>
  <cellStyles count="4">
    <cellStyle name="Currency" xfId="1" builtinId="4"/>
    <cellStyle name="Normal" xfId="0" builtinId="0"/>
    <cellStyle name="Normal 5" xfId="3" xr:uid="{2439568A-87BA-480E-AD66-096D89C05A3B}"/>
    <cellStyle name="Percent" xfId="2" builtinId="5"/>
  </cellStyles>
  <dxfs count="25">
    <dxf>
      <fill>
        <patternFill patternType="solid">
          <fgColor indexed="64"/>
          <bgColor theme="7" tint="0.79998168889431442"/>
        </patternFill>
      </fill>
      <border diagonalUp="0" diagonalDown="0">
        <left style="thin">
          <color theme="7" tint="0.39994506668294322"/>
        </left>
        <right style="thin">
          <color theme="7" tint="0.39994506668294322"/>
        </right>
        <top/>
        <bottom/>
        <vertical/>
        <horizontal/>
      </border>
      <protection locked="0" hidden="0"/>
    </dxf>
    <dxf>
      <font>
        <b/>
        <i val="0"/>
        <strike val="0"/>
        <condense val="0"/>
        <extend val="0"/>
        <outline val="0"/>
        <shadow val="0"/>
        <u val="none"/>
        <vertAlign val="baseline"/>
        <sz val="11"/>
        <color theme="1"/>
        <name val="Calibri"/>
        <family val="2"/>
        <scheme val="none"/>
      </font>
      <numFmt numFmtId="34" formatCode="_(&quot;$&quot;* #,##0.00_);_(&quot;$&quot;* \(#,##0.00\);_(&quot;$&quot;* &quot;-&quot;??_);_(@_)"/>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numFmt numFmtId="34" formatCode="_(&quot;$&quot;* #,##0.00_);_(&quot;$&quot;* \(#,##0.00\);_(&quot;$&quot;* &quot;-&quot;??_);_(@_)"/>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4" formatCode="0.00%"/>
      <fill>
        <patternFill patternType="solid">
          <fgColor indexed="64"/>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9"/>
        <color rgb="FF000000"/>
        <name val="Proxima Nova Rg"/>
        <scheme val="none"/>
      </font>
      <numFmt numFmtId="164" formatCode="&quot;$&quot;#,##0.00"/>
      <fill>
        <patternFill patternType="solid">
          <fgColor indexed="64"/>
          <bgColor theme="4" tint="0.79998168889431442"/>
        </patternFill>
      </fill>
      <alignment horizontal="right" vertical="top" textRotation="0" wrapText="1" indent="0" justifyLastLine="0" shrinkToFit="0" readingOrder="0"/>
    </dxf>
    <dxf>
      <font>
        <b/>
        <i val="0"/>
        <strike val="0"/>
        <condense val="0"/>
        <extend val="0"/>
        <outline val="0"/>
        <shadow val="0"/>
        <u val="none"/>
        <vertAlign val="baseline"/>
        <sz val="9"/>
        <color rgb="FF000000"/>
        <name val="Proxima Nova Rg"/>
        <scheme val="none"/>
      </font>
      <numFmt numFmtId="165" formatCode="#,##0.0000;\-#,##0.0000;#,##0.0000"/>
      <fill>
        <patternFill patternType="solid">
          <fgColor indexed="64"/>
          <bgColor theme="4" tint="0.79998168889431442"/>
        </patternFill>
      </fill>
      <alignment horizontal="center" vertical="top" textRotation="0" wrapText="1" indent="0" justifyLastLine="0" shrinkToFit="0" readingOrder="0"/>
    </dxf>
    <dxf>
      <font>
        <b/>
        <i val="0"/>
        <strike val="0"/>
        <condense val="0"/>
        <extend val="0"/>
        <outline val="0"/>
        <shadow val="0"/>
        <u val="none"/>
        <vertAlign val="baseline"/>
        <sz val="9"/>
        <color rgb="FF000000"/>
        <name val="Proxima Nova Rg"/>
        <scheme val="none"/>
      </font>
      <numFmt numFmtId="2" formatCode="0.00"/>
      <fill>
        <patternFill patternType="solid">
          <fgColor indexed="64"/>
          <bgColor theme="4" tint="0.79998168889431442"/>
        </patternFill>
      </fill>
      <alignment horizontal="right" vertical="top" textRotation="0" wrapText="1" indent="0" justifyLastLine="0" shrinkToFit="0" readingOrder="0"/>
    </dxf>
    <dxf>
      <font>
        <b/>
        <i val="0"/>
        <strike val="0"/>
        <condense val="0"/>
        <extend val="0"/>
        <outline val="0"/>
        <shadow val="0"/>
        <u val="none"/>
        <vertAlign val="baseline"/>
        <sz val="9"/>
        <color rgb="FF000000"/>
        <name val="Proxima Nova Rg"/>
        <scheme val="none"/>
      </font>
      <numFmt numFmtId="14" formatCode="0.00%"/>
      <fill>
        <patternFill patternType="solid">
          <fgColor indexed="64"/>
          <bgColor theme="4" tint="0.79998168889431442"/>
        </patternFill>
      </fill>
      <alignment horizontal="right" vertical="top" textRotation="0" wrapText="1" indent="0" justifyLastLine="0" shrinkToFit="0" readingOrder="0"/>
    </dxf>
    <dxf>
      <font>
        <b/>
        <i val="0"/>
        <strike val="0"/>
        <condense val="0"/>
        <extend val="0"/>
        <outline val="0"/>
        <shadow val="0"/>
        <u val="none"/>
        <vertAlign val="baseline"/>
        <sz val="9"/>
        <color rgb="FF000000"/>
        <name val="Proxima Nova Rg"/>
        <scheme val="none"/>
      </font>
      <numFmt numFmtId="164" formatCode="&quot;$&quot;#,##0.00"/>
      <fill>
        <patternFill patternType="solid">
          <fgColor indexed="64"/>
          <bgColor theme="4" tint="0.79998168889431442"/>
        </patternFill>
      </fill>
      <alignment horizontal="right" vertical="top" textRotation="0" wrapText="1" indent="0" justifyLastLine="0" shrinkToFit="0" readingOrder="0"/>
    </dxf>
    <dxf>
      <font>
        <b/>
        <i val="0"/>
        <strike val="0"/>
        <condense val="0"/>
        <extend val="0"/>
        <outline val="0"/>
        <shadow val="0"/>
        <u val="none"/>
        <vertAlign val="baseline"/>
        <sz val="9"/>
        <color rgb="FF000000"/>
        <name val="Proxima Nova Rg"/>
        <scheme val="none"/>
      </font>
      <numFmt numFmtId="166" formatCode="#,##0.00;\-#,##0.00;#,##0.00"/>
      <fill>
        <patternFill patternType="solid">
          <fgColor indexed="64"/>
          <bgColor theme="4" tint="0.79998168889431442"/>
        </patternFill>
      </fill>
      <alignment horizontal="left" vertical="top" textRotation="0" wrapText="1" indent="0" justifyLastLine="0" shrinkToFit="0" readingOrder="0"/>
    </dxf>
    <dxf>
      <font>
        <b/>
        <i val="0"/>
        <strike val="0"/>
        <condense val="0"/>
        <extend val="0"/>
        <outline val="0"/>
        <shadow val="0"/>
        <u val="none"/>
        <vertAlign val="baseline"/>
        <sz val="9"/>
        <color rgb="FF000000"/>
        <name val="Proxima Nova Rg"/>
        <scheme val="none"/>
      </font>
      <numFmt numFmtId="164" formatCode="&quot;$&quot;#,##0.00"/>
      <fill>
        <patternFill patternType="solid">
          <fgColor indexed="64"/>
          <bgColor theme="4" tint="0.79998168889431442"/>
        </patternFill>
      </fill>
      <alignment horizontal="right" vertical="top" textRotation="0" wrapText="1" indent="0" justifyLastLine="0" shrinkToFit="0" readingOrder="0"/>
    </dxf>
    <dxf>
      <font>
        <b val="0"/>
        <i val="0"/>
        <strike val="0"/>
        <condense val="0"/>
        <extend val="0"/>
        <outline val="0"/>
        <shadow val="0"/>
        <u val="none"/>
        <vertAlign val="baseline"/>
        <sz val="9"/>
        <color rgb="FF000000"/>
        <name val="Proxima Nova Rg"/>
        <scheme val="none"/>
      </font>
      <alignment horizontal="left" vertical="top" textRotation="0" wrapText="1" indent="0" justifyLastLine="0" shrinkToFit="0" readingOrder="0"/>
    </dxf>
    <dxf>
      <font>
        <b/>
        <i val="0"/>
        <strike val="0"/>
        <condense val="0"/>
        <extend val="0"/>
        <outline val="0"/>
        <shadow val="0"/>
        <u val="none"/>
        <vertAlign val="baseline"/>
        <sz val="9"/>
        <color rgb="FF000000"/>
        <name val="Proxima Nova Rg"/>
        <scheme val="none"/>
      </font>
      <numFmt numFmtId="164" formatCode="&quot;$&quot;#,##0.00"/>
      <fill>
        <patternFill patternType="none">
          <fgColor indexed="64"/>
          <bgColor auto="1"/>
        </patternFill>
      </fill>
      <alignment horizontal="right" vertical="top" textRotation="0" wrapText="1" indent="0" justifyLastLine="0" shrinkToFit="0" readingOrder="0"/>
    </dxf>
    <dxf>
      <font>
        <b/>
        <i val="0"/>
        <strike val="0"/>
        <condense val="0"/>
        <extend val="0"/>
        <outline val="0"/>
        <shadow val="0"/>
        <u val="none"/>
        <vertAlign val="baseline"/>
        <sz val="9"/>
        <color rgb="FF000000"/>
        <name val="Proxima Nova Rg"/>
        <scheme val="none"/>
      </font>
      <fill>
        <patternFill patternType="solid">
          <fgColor indexed="64"/>
          <bgColor theme="4" tint="0.79998168889431442"/>
        </patternFill>
      </fill>
      <alignment horizontal="left" vertical="top" textRotation="0" wrapText="1" indent="0" justifyLastLine="0" shrinkToFit="0" readingOrder="0"/>
    </dxf>
    <dxf>
      <font>
        <b/>
        <i val="0"/>
        <strike val="0"/>
        <condense val="0"/>
        <extend val="0"/>
        <outline val="0"/>
        <shadow val="0"/>
        <u val="none"/>
        <vertAlign val="baseline"/>
        <sz val="9"/>
        <color rgb="FF000000"/>
        <name val="Proxima Nova Rg"/>
        <scheme val="none"/>
      </font>
      <fill>
        <patternFill patternType="solid">
          <fgColor indexed="64"/>
          <bgColor theme="4" tint="0.79998168889431442"/>
        </patternFill>
      </fill>
      <alignment horizontal="left" vertical="top" textRotation="0" wrapText="1" indent="0" justifyLastLine="0" shrinkToFit="0" readingOrder="0"/>
    </dxf>
    <dxf>
      <font>
        <b/>
        <i val="0"/>
        <strike val="0"/>
        <condense val="0"/>
        <extend val="0"/>
        <outline val="0"/>
        <shadow val="0"/>
        <u val="none"/>
        <vertAlign val="baseline"/>
        <sz val="9"/>
        <color rgb="FF000000"/>
        <name val="Proxima Nova Rg"/>
        <scheme val="none"/>
      </font>
      <fill>
        <patternFill patternType="solid">
          <fgColor indexed="64"/>
          <bgColor theme="4" tint="0.79998168889431442"/>
        </patternFill>
      </fill>
      <alignment horizontal="left" vertical="top" textRotation="0" wrapText="1" indent="0" justifyLastLine="0" shrinkToFit="0" readingOrder="0"/>
    </dxf>
    <dxf>
      <font>
        <b/>
        <i val="0"/>
        <strike val="0"/>
        <condense val="0"/>
        <extend val="0"/>
        <outline val="0"/>
        <shadow val="0"/>
        <u val="none"/>
        <vertAlign val="baseline"/>
        <sz val="9"/>
        <color rgb="FF000000"/>
        <name val="Proxima Nova Rg"/>
        <scheme val="none"/>
      </font>
      <fill>
        <patternFill patternType="solid">
          <fgColor indexed="64"/>
          <bgColor theme="4" tint="0.79998168889431442"/>
        </patternFill>
      </fill>
      <alignment horizontal="left" vertical="top" textRotation="0" wrapText="1" indent="0" justifyLastLine="0" shrinkToFit="0" readingOrder="0"/>
    </dxf>
    <dxf>
      <font>
        <b/>
        <i val="0"/>
        <strike val="0"/>
        <condense val="0"/>
        <extend val="0"/>
        <outline val="0"/>
        <shadow val="0"/>
        <u val="none"/>
        <vertAlign val="baseline"/>
        <sz val="9"/>
        <color rgb="FF000000"/>
        <name val="Proxima Nova Rg"/>
        <scheme val="none"/>
      </font>
      <fill>
        <patternFill patternType="solid">
          <fgColor indexed="64"/>
          <bgColor theme="4" tint="0.79998168889431442"/>
        </patternFill>
      </fill>
      <alignment horizontal="left" vertical="top" textRotation="0" wrapText="1" indent="0" justifyLastLine="0" shrinkToFit="0" readingOrder="0"/>
    </dxf>
    <dxf>
      <font>
        <b/>
        <i val="0"/>
        <strike val="0"/>
        <condense val="0"/>
        <extend val="0"/>
        <outline val="0"/>
        <shadow val="0"/>
        <u val="none"/>
        <vertAlign val="baseline"/>
        <sz val="9"/>
        <color rgb="FF000000"/>
        <name val="Proxima Nova Rg"/>
        <scheme val="none"/>
      </font>
      <fill>
        <patternFill patternType="solid">
          <fgColor indexed="64"/>
          <bgColor theme="4" tint="0.79998168889431442"/>
        </patternFill>
      </fill>
      <alignment horizontal="left" vertical="top" textRotation="0" wrapText="1" indent="0" justifyLastLine="0" shrinkToFit="0" readingOrder="0"/>
    </dxf>
    <dxf>
      <font>
        <b/>
        <i val="0"/>
        <strike val="0"/>
        <condense val="0"/>
        <extend val="0"/>
        <outline val="0"/>
        <shadow val="0"/>
        <u val="none"/>
        <vertAlign val="baseline"/>
        <sz val="9"/>
        <color rgb="FF000000"/>
        <name val="Proxima Nova Rg"/>
        <scheme val="none"/>
      </font>
      <fill>
        <patternFill patternType="solid">
          <fgColor indexed="64"/>
          <bgColor theme="4" tint="0.79998168889431442"/>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theme="4" tint="0.59999389629810485"/>
        </patternFill>
      </fill>
      <alignment horizontal="center" vertical="top"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9525</xdr:colOff>
      <xdr:row>0</xdr:row>
      <xdr:rowOff>9525</xdr:rowOff>
    </xdr:from>
    <xdr:to>
      <xdr:col>1</xdr:col>
      <xdr:colOff>0</xdr:colOff>
      <xdr:row>3</xdr:row>
      <xdr:rowOff>180975</xdr:rowOff>
    </xdr:to>
    <mc:AlternateContent xmlns:mc="http://schemas.openxmlformats.org/markup-compatibility/2006" xmlns:sle15="http://schemas.microsoft.com/office/drawing/2012/slicer">
      <mc:Choice Requires="sle15">
        <xdr:graphicFrame macro="">
          <xdr:nvGraphicFramePr>
            <xdr:cNvPr id="2" name="Current Record? 2">
              <a:extLst>
                <a:ext uri="{FF2B5EF4-FFF2-40B4-BE49-F238E27FC236}">
                  <a16:creationId xmlns:a16="http://schemas.microsoft.com/office/drawing/2014/main" id="{9199EA50-9826-435C-9759-C59F021E0592}"/>
                </a:ext>
              </a:extLst>
            </xdr:cNvPr>
            <xdr:cNvGraphicFramePr/>
          </xdr:nvGraphicFramePr>
          <xdr:xfrm>
            <a:off x="0" y="0"/>
            <a:ext cx="0" cy="0"/>
          </xdr:xfrm>
          <a:graphic>
            <a:graphicData uri="http://schemas.microsoft.com/office/drawing/2010/slicer">
              <sle:slicer xmlns:sle="http://schemas.microsoft.com/office/drawing/2010/slicer" name="Current Record? 2"/>
            </a:graphicData>
          </a:graphic>
        </xdr:graphicFrame>
      </mc:Choice>
      <mc:Fallback xmlns="">
        <xdr:sp macro="" textlink="">
          <xdr:nvSpPr>
            <xdr:cNvPr id="0" name=""/>
            <xdr:cNvSpPr>
              <a:spLocks noTextEdit="1"/>
            </xdr:cNvSpPr>
          </xdr:nvSpPr>
          <xdr:spPr>
            <a:xfrm>
              <a:off x="9525" y="9525"/>
              <a:ext cx="1828800" cy="742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Record?11" xr10:uid="{41D22655-8FEB-4492-BB7B-035371601E35}" sourceName="Current Record?">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Record? 2" xr10:uid="{28D4C0ED-84FA-4A01-86D8-E97E02A57166}" cache="Slicer_Current_Record?11" caption="Current Record?"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D7BA3C-141B-4DFD-A3AF-3F4766777C25}" name="Table256" displayName="Table256" ref="A5:T54" totalsRowShown="0" headerRowDxfId="20" headerRowCellStyle="Normal 5">
  <autoFilter ref="A5:T54" xr:uid="{5E51EC4C-7C75-4587-80D6-89E971223816}"/>
  <sortState xmlns:xlrd2="http://schemas.microsoft.com/office/spreadsheetml/2017/richdata2" ref="A7:T50">
    <sortCondition ref="B6:B54"/>
    <sortCondition descending="1" ref="F6:F54"/>
  </sortState>
  <tableColumns count="20">
    <tableColumn id="1" xr3:uid="{7FA828D4-F909-4AEC-AE6A-72E660EB5235}" name="NAME" dataDxfId="19" dataCellStyle="Normal 5"/>
    <tableColumn id="2" xr3:uid="{807912A9-5D6F-42E7-990C-66944316FDD5}" name="POSITION ID" dataDxfId="18" dataCellStyle="Normal 5"/>
    <tableColumn id="3" xr3:uid="{8B1F518E-D64B-4EF9-9A45-8B4078E7C0FC}" name="SALARY PLANNING MANAGER" dataDxfId="17" dataCellStyle="Normal 5"/>
    <tableColumn id="4" xr3:uid="{D2E04FB0-172E-4948-BD4D-9F0FDF157261}" name="RATE TYPE" dataDxfId="16" dataCellStyle="Normal 5"/>
    <tableColumn id="5" xr3:uid="{F154CF2C-DDC4-40A1-B9D2-59F0A6D6C3E3}" name="HOME DEPARTMENT" dataDxfId="15" dataCellStyle="Normal 5"/>
    <tableColumn id="6" xr3:uid="{866F842A-F021-449C-943C-5F2CA3B9835A}" name="EFFECTIVE DATE" dataDxfId="14" dataCellStyle="Normal 5"/>
    <tableColumn id="7" xr3:uid="{0717926F-FB58-46CE-BF94-E29750A7E06D}" name="Current Record?" dataDxfId="13" dataCellStyle="Normal 5"/>
    <tableColumn id="8" xr3:uid="{7E91C62F-B526-4BBA-8A7B-6721CE484F19}" name="CURRENT SALARY (AS OF 01/2024)" dataDxfId="12" dataCellStyle="Currency"/>
    <tableColumn id="21" xr3:uid="{0862F552-C12B-49DA-BB70-A813A01135DE}" name="JOB TITLE" dataDxfId="11" dataCellStyle="Currency"/>
    <tableColumn id="9" xr3:uid="{BCB82E46-3665-43FF-80C0-6B7BFBFA3A92}" name="ANNUAL SALARY" dataDxfId="10" dataCellStyle="Currency"/>
    <tableColumn id="10" xr3:uid="{78F2955C-C363-4A35-B2F2-059653DC89CC}" name="CURRENCY" dataDxfId="9" dataCellStyle="Normal 5"/>
    <tableColumn id="11" xr3:uid="{43ABE396-F819-4B1A-8F8C-D072F21E00F7}" name="AMOUNT CHANGE" dataDxfId="8" dataCellStyle="Normal 5"/>
    <tableColumn id="12" xr3:uid="{3F61D89F-BF8A-46E0-96BA-367FF8A1E824}" name="PERCENT CHANGE" dataDxfId="7" dataCellStyle="Normal 5"/>
    <tableColumn id="13" xr3:uid="{CC1D7AC6-C27B-47AC-BAEC-0CC768F42B38}" name="STANDARD HOURS" dataDxfId="6" dataCellStyle="Normal 5"/>
    <tableColumn id="14" xr3:uid="{2E32C052-23DE-478C-A476-7A2BDBFCD450}" name="CHANGE REASON" dataDxfId="5" dataCellStyle="Normal 5"/>
    <tableColumn id="15" xr3:uid="{E1F66977-8AC1-461D-AC3E-2D506759BA3B}" name="HOURLY RATE" dataDxfId="4" dataCellStyle="Normal 5">
      <calculatedColumnFormula>Table256[[#This Row],[ANNUAL SALARY]]/2080</calculatedColumnFormula>
    </tableColumn>
    <tableColumn id="16" xr3:uid="{A8EA6B08-413E-459F-A321-B3FEC330C5EB}" name="% AWARDED" dataDxfId="3" dataCellStyle="Percent"/>
    <tableColumn id="17" xr3:uid="{FF007A65-C7F6-4F29-8BBF-8FFF5177A91D}" name="AWARD AMOUNT" dataDxfId="2" dataCellStyle="Normal 5">
      <calculatedColumnFormula>IF(G6="yes",Q6*J6,"")</calculatedColumnFormula>
    </tableColumn>
    <tableColumn id="18" xr3:uid="{79326DBA-6471-4B07-9568-0588D1467519}" name="NEW SALARY" dataDxfId="1" dataCellStyle="Normal 5">
      <calculatedColumnFormula>IF(G6="yes",J6+R6,"")</calculatedColumnFormula>
    </tableColumn>
    <tableColumn id="19" xr3:uid="{CE90D8E0-F1AA-4954-8AE9-FBC2129E366E}" name="LEADER COMMENTS" dataDxfId="0" dataCellStyle="Normal 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F774-C2D5-4342-AE4A-35AC0E6B2647}">
  <dimension ref="A1:T54"/>
  <sheetViews>
    <sheetView tabSelected="1" workbookViewId="0">
      <pane xSplit="1" ySplit="5" topLeftCell="L6" activePane="bottomRight" state="frozen"/>
      <selection pane="bottomRight" activeCell="Q8" sqref="Q8"/>
      <selection pane="bottomLeft" activeCell="A6" sqref="A6"/>
      <selection pane="topRight" activeCell="B1" sqref="B1"/>
    </sheetView>
  </sheetViews>
  <sheetFormatPr defaultColWidth="9.140625" defaultRowHeight="15"/>
  <cols>
    <col min="1" max="1" width="27.5703125" style="1" customWidth="1"/>
    <col min="2" max="2" width="13" style="1" customWidth="1"/>
    <col min="3" max="3" width="27" style="1" customWidth="1"/>
    <col min="4" max="4" width="12" style="1" customWidth="1"/>
    <col min="5" max="5" width="29.28515625" style="1" customWidth="1"/>
    <col min="6" max="6" width="16.28515625" style="1" customWidth="1"/>
    <col min="7" max="7" width="16.5703125" style="1" customWidth="1"/>
    <col min="8" max="8" width="16.140625" style="1" customWidth="1"/>
    <col min="9" max="9" width="16.140625" style="33" customWidth="1"/>
    <col min="10" max="10" width="17.7109375" style="2" customWidth="1"/>
    <col min="11" max="11" width="10.28515625" style="1" customWidth="1"/>
    <col min="12" max="12" width="17.42578125" style="1" customWidth="1"/>
    <col min="13" max="13" width="17.85546875" style="25" customWidth="1"/>
    <col min="14" max="14" width="14" style="27" customWidth="1"/>
    <col min="15" max="15" width="27.42578125" style="1" customWidth="1"/>
    <col min="16" max="16" width="15.28515625" style="1" customWidth="1"/>
    <col min="17" max="17" width="19.42578125" style="12" bestFit="1" customWidth="1"/>
    <col min="18" max="18" width="19" style="13" customWidth="1"/>
    <col min="19" max="19" width="20.28515625" style="13" bestFit="1" customWidth="1"/>
    <col min="20" max="20" width="25.85546875" style="1" customWidth="1"/>
    <col min="21" max="16384" width="9.140625" style="1"/>
  </cols>
  <sheetData>
    <row r="1" spans="1:20">
      <c r="O1" s="3" t="s">
        <v>0</v>
      </c>
      <c r="P1" s="4">
        <f>SUMIFS(H:H,G:G,"YES")</f>
        <v>2092799.32</v>
      </c>
      <c r="Q1" s="5" t="s">
        <v>1</v>
      </c>
      <c r="R1" s="4">
        <f>P1*P3</f>
        <v>83711.972800000003</v>
      </c>
      <c r="S1" s="3" t="s">
        <v>2</v>
      </c>
      <c r="T1" s="4">
        <f>R1-R3</f>
        <v>0</v>
      </c>
    </row>
    <row r="2" spans="1:20">
      <c r="O2" s="6"/>
      <c r="P2" s="7"/>
      <c r="Q2" s="8"/>
      <c r="R2" s="9"/>
      <c r="S2" s="6"/>
      <c r="T2" s="6"/>
    </row>
    <row r="3" spans="1:20">
      <c r="O3" s="3" t="s">
        <v>3</v>
      </c>
      <c r="P3" s="10">
        <v>0.04</v>
      </c>
      <c r="Q3" s="5" t="s">
        <v>4</v>
      </c>
      <c r="R3" s="4">
        <f>SUM($R$6:$R$9999)</f>
        <v>83711.972800000003</v>
      </c>
      <c r="S3" s="3" t="s">
        <v>5</v>
      </c>
      <c r="T3" s="11">
        <f>IFERROR(R3/P1,"-")</f>
        <v>0.04</v>
      </c>
    </row>
    <row r="5" spans="1:20" ht="24">
      <c r="A5" s="14" t="s">
        <v>6</v>
      </c>
      <c r="B5" s="14" t="s">
        <v>7</v>
      </c>
      <c r="C5" s="14" t="s">
        <v>8</v>
      </c>
      <c r="D5" s="14" t="s">
        <v>9</v>
      </c>
      <c r="E5" s="14" t="s">
        <v>10</v>
      </c>
      <c r="F5" s="14" t="s">
        <v>11</v>
      </c>
      <c r="G5" s="14" t="s">
        <v>12</v>
      </c>
      <c r="H5" s="40" t="s">
        <v>13</v>
      </c>
      <c r="I5" s="14" t="s">
        <v>14</v>
      </c>
      <c r="J5" s="37" t="s">
        <v>15</v>
      </c>
      <c r="K5" s="14" t="s">
        <v>16</v>
      </c>
      <c r="L5" s="15" t="s">
        <v>17</v>
      </c>
      <c r="M5" s="31" t="s">
        <v>18</v>
      </c>
      <c r="N5" s="28" t="s">
        <v>19</v>
      </c>
      <c r="O5" s="16" t="s">
        <v>20</v>
      </c>
      <c r="P5" s="16" t="s">
        <v>21</v>
      </c>
      <c r="Q5" s="17" t="s">
        <v>22</v>
      </c>
      <c r="R5" s="18" t="s">
        <v>23</v>
      </c>
      <c r="S5" s="18" t="s">
        <v>24</v>
      </c>
      <c r="T5" s="18" t="s">
        <v>25</v>
      </c>
    </row>
    <row r="6" spans="1:20" ht="24">
      <c r="A6" s="19" t="s">
        <v>26</v>
      </c>
      <c r="B6" s="19" t="s">
        <v>27</v>
      </c>
      <c r="C6" s="19" t="s">
        <v>28</v>
      </c>
      <c r="D6" s="19" t="s">
        <v>29</v>
      </c>
      <c r="E6" s="19" t="s">
        <v>30</v>
      </c>
      <c r="F6" s="19" t="s">
        <v>31</v>
      </c>
      <c r="G6" s="19" t="s">
        <v>32</v>
      </c>
      <c r="H6" s="38">
        <v>160000</v>
      </c>
      <c r="I6" s="26" t="s">
        <v>33</v>
      </c>
      <c r="J6" s="38">
        <v>160000</v>
      </c>
      <c r="K6" s="19" t="s">
        <v>34</v>
      </c>
      <c r="L6" s="35">
        <v>18000</v>
      </c>
      <c r="M6" s="32">
        <v>0.12676056338028169</v>
      </c>
      <c r="N6" s="29">
        <v>40</v>
      </c>
      <c r="O6" s="21" t="s">
        <v>35</v>
      </c>
      <c r="P6" s="35">
        <f>Table256[[#This Row],[ANNUAL SALARY]]/2080</f>
        <v>76.92307692307692</v>
      </c>
      <c r="Q6" s="41">
        <v>0.04</v>
      </c>
      <c r="R6" s="22">
        <f t="shared" ref="R6:R37" si="0">IF(G6="yes",Q6*J6,"")</f>
        <v>6400</v>
      </c>
      <c r="S6" s="22">
        <f t="shared" ref="S6:S37" si="1">IF(G6="yes",J6+R6,"")</f>
        <v>166400</v>
      </c>
      <c r="T6" s="45"/>
    </row>
    <row r="7" spans="1:20" ht="24">
      <c r="A7" s="23" t="s">
        <v>26</v>
      </c>
      <c r="B7" s="23" t="s">
        <v>27</v>
      </c>
      <c r="C7" s="23" t="s">
        <v>28</v>
      </c>
      <c r="D7" s="23" t="s">
        <v>29</v>
      </c>
      <c r="E7" s="23" t="s">
        <v>30</v>
      </c>
      <c r="F7" s="23" t="s">
        <v>36</v>
      </c>
      <c r="G7" s="23" t="s">
        <v>37</v>
      </c>
      <c r="H7" s="39">
        <v>160000</v>
      </c>
      <c r="I7" s="20" t="s">
        <v>33</v>
      </c>
      <c r="J7" s="39">
        <v>142000</v>
      </c>
      <c r="K7" s="23" t="s">
        <v>34</v>
      </c>
      <c r="L7" s="36"/>
      <c r="M7" s="34"/>
      <c r="N7" s="30">
        <v>40</v>
      </c>
      <c r="O7" s="24" t="s">
        <v>38</v>
      </c>
      <c r="P7" s="36">
        <f>Table256[[#This Row],[ANNUAL SALARY]]/2080</f>
        <v>68.269230769230774</v>
      </c>
      <c r="Q7" s="25"/>
      <c r="R7" s="1" t="str">
        <f t="shared" si="0"/>
        <v/>
      </c>
      <c r="S7" s="1" t="str">
        <f t="shared" si="1"/>
        <v/>
      </c>
    </row>
    <row r="8" spans="1:20" ht="24">
      <c r="A8" s="19" t="s">
        <v>39</v>
      </c>
      <c r="B8" s="19" t="s">
        <v>40</v>
      </c>
      <c r="C8" s="19" t="s">
        <v>28</v>
      </c>
      <c r="D8" s="19" t="s">
        <v>29</v>
      </c>
      <c r="E8" s="19" t="s">
        <v>41</v>
      </c>
      <c r="F8" s="19" t="s">
        <v>31</v>
      </c>
      <c r="G8" s="19" t="s">
        <v>32</v>
      </c>
      <c r="H8" s="38">
        <v>104000</v>
      </c>
      <c r="I8" s="26" t="s">
        <v>42</v>
      </c>
      <c r="J8" s="38">
        <v>104000</v>
      </c>
      <c r="K8" s="19" t="s">
        <v>34</v>
      </c>
      <c r="L8" s="35">
        <v>14749.800000000003</v>
      </c>
      <c r="M8" s="32">
        <v>0.16526349520785391</v>
      </c>
      <c r="N8" s="29">
        <v>40</v>
      </c>
      <c r="O8" s="21" t="s">
        <v>43</v>
      </c>
      <c r="P8" s="35">
        <f>Table256[[#This Row],[ANNUAL SALARY]]/2080</f>
        <v>50</v>
      </c>
      <c r="Q8" s="41">
        <v>0.04</v>
      </c>
      <c r="R8" s="22">
        <f t="shared" si="0"/>
        <v>4160</v>
      </c>
      <c r="S8" s="22">
        <f t="shared" si="1"/>
        <v>108160</v>
      </c>
      <c r="T8" s="45"/>
    </row>
    <row r="9" spans="1:20" ht="24">
      <c r="A9" s="23" t="s">
        <v>39</v>
      </c>
      <c r="B9" s="23" t="s">
        <v>40</v>
      </c>
      <c r="C9" s="23" t="s">
        <v>28</v>
      </c>
      <c r="D9" s="23" t="s">
        <v>29</v>
      </c>
      <c r="E9" s="23" t="s">
        <v>41</v>
      </c>
      <c r="F9" s="23" t="s">
        <v>44</v>
      </c>
      <c r="G9" s="23" t="s">
        <v>37</v>
      </c>
      <c r="H9" s="39">
        <v>104000</v>
      </c>
      <c r="I9" s="20" t="s">
        <v>45</v>
      </c>
      <c r="J9" s="39">
        <v>89250.2</v>
      </c>
      <c r="K9" s="23" t="s">
        <v>34</v>
      </c>
      <c r="L9" s="36">
        <v>5250.1999999999971</v>
      </c>
      <c r="M9" s="34">
        <v>6.250238095238092E-2</v>
      </c>
      <c r="N9" s="30">
        <v>40</v>
      </c>
      <c r="O9" s="24" t="s">
        <v>46</v>
      </c>
      <c r="P9" s="36">
        <f>Table256[[#This Row],[ANNUAL SALARY]]/2080</f>
        <v>42.908749999999998</v>
      </c>
      <c r="Q9" s="25"/>
      <c r="R9" s="1" t="str">
        <f t="shared" si="0"/>
        <v/>
      </c>
      <c r="S9" s="1" t="str">
        <f t="shared" si="1"/>
        <v/>
      </c>
    </row>
    <row r="10" spans="1:20" ht="24">
      <c r="A10" s="23" t="s">
        <v>39</v>
      </c>
      <c r="B10" s="23" t="s">
        <v>40</v>
      </c>
      <c r="C10" s="23" t="s">
        <v>28</v>
      </c>
      <c r="D10" s="23" t="s">
        <v>47</v>
      </c>
      <c r="E10" s="23" t="s">
        <v>41</v>
      </c>
      <c r="F10" s="23" t="s">
        <v>48</v>
      </c>
      <c r="G10" s="23" t="s">
        <v>37</v>
      </c>
      <c r="H10" s="39">
        <v>104000</v>
      </c>
      <c r="I10" s="20" t="s">
        <v>45</v>
      </c>
      <c r="J10" s="39">
        <v>84000</v>
      </c>
      <c r="K10" s="23" t="s">
        <v>34</v>
      </c>
      <c r="L10" s="36"/>
      <c r="M10" s="34"/>
      <c r="N10" s="30">
        <v>40</v>
      </c>
      <c r="O10" s="24" t="s">
        <v>38</v>
      </c>
      <c r="P10" s="36">
        <f>Table256[[#This Row],[ANNUAL SALARY]]/2080</f>
        <v>40.384615384615387</v>
      </c>
      <c r="Q10" s="25"/>
      <c r="R10" s="1" t="str">
        <f t="shared" si="0"/>
        <v/>
      </c>
      <c r="S10" s="1" t="str">
        <f t="shared" si="1"/>
        <v/>
      </c>
    </row>
    <row r="11" spans="1:20" ht="24">
      <c r="A11" s="19" t="s">
        <v>49</v>
      </c>
      <c r="B11" s="19" t="s">
        <v>50</v>
      </c>
      <c r="C11" s="19" t="s">
        <v>28</v>
      </c>
      <c r="D11" s="19" t="s">
        <v>29</v>
      </c>
      <c r="E11" s="19" t="s">
        <v>30</v>
      </c>
      <c r="F11" s="19" t="s">
        <v>51</v>
      </c>
      <c r="G11" s="19" t="s">
        <v>32</v>
      </c>
      <c r="H11" s="38">
        <v>110000</v>
      </c>
      <c r="I11" s="26" t="s">
        <v>52</v>
      </c>
      <c r="J11" s="38">
        <v>110000</v>
      </c>
      <c r="K11" s="19" t="s">
        <v>34</v>
      </c>
      <c r="L11" s="35">
        <v>24000</v>
      </c>
      <c r="M11" s="32">
        <v>0.27906976744186046</v>
      </c>
      <c r="N11" s="29">
        <v>40</v>
      </c>
      <c r="O11" s="21" t="s">
        <v>43</v>
      </c>
      <c r="P11" s="35">
        <f>Table256[[#This Row],[ANNUAL SALARY]]/2080</f>
        <v>52.884615384615387</v>
      </c>
      <c r="Q11" s="41">
        <v>0.04</v>
      </c>
      <c r="R11" s="22">
        <f t="shared" si="0"/>
        <v>4400</v>
      </c>
      <c r="S11" s="22">
        <f t="shared" si="1"/>
        <v>114400</v>
      </c>
      <c r="T11" s="45"/>
    </row>
    <row r="12" spans="1:20">
      <c r="A12" s="23" t="s">
        <v>49</v>
      </c>
      <c r="B12" s="23" t="s">
        <v>50</v>
      </c>
      <c r="C12" s="23" t="s">
        <v>28</v>
      </c>
      <c r="D12" s="23" t="s">
        <v>29</v>
      </c>
      <c r="E12" s="23" t="s">
        <v>30</v>
      </c>
      <c r="F12" s="23" t="s">
        <v>53</v>
      </c>
      <c r="G12" s="23" t="s">
        <v>37</v>
      </c>
      <c r="H12" s="39">
        <v>110000</v>
      </c>
      <c r="I12" s="20" t="s">
        <v>54</v>
      </c>
      <c r="J12" s="39">
        <v>86000</v>
      </c>
      <c r="K12" s="23" t="s">
        <v>34</v>
      </c>
      <c r="L12" s="36"/>
      <c r="M12" s="34"/>
      <c r="N12" s="30">
        <v>40</v>
      </c>
      <c r="O12" s="24" t="s">
        <v>38</v>
      </c>
      <c r="P12" s="36">
        <f>Table256[[#This Row],[ANNUAL SALARY]]/2080</f>
        <v>41.346153846153847</v>
      </c>
      <c r="Q12" s="25"/>
      <c r="R12" s="1" t="str">
        <f t="shared" si="0"/>
        <v/>
      </c>
      <c r="S12" s="1" t="str">
        <f t="shared" si="1"/>
        <v/>
      </c>
    </row>
    <row r="13" spans="1:20" ht="24">
      <c r="A13" s="19" t="s">
        <v>55</v>
      </c>
      <c r="B13" s="19" t="s">
        <v>56</v>
      </c>
      <c r="C13" s="19" t="s">
        <v>28</v>
      </c>
      <c r="D13" s="19" t="s">
        <v>29</v>
      </c>
      <c r="E13" s="19" t="s">
        <v>41</v>
      </c>
      <c r="F13" s="19" t="s">
        <v>57</v>
      </c>
      <c r="G13" s="19" t="s">
        <v>32</v>
      </c>
      <c r="H13" s="38">
        <v>185000</v>
      </c>
      <c r="I13" s="26" t="s">
        <v>58</v>
      </c>
      <c r="J13" s="38">
        <v>185000</v>
      </c>
      <c r="K13" s="19" t="s">
        <v>34</v>
      </c>
      <c r="L13" s="35">
        <v>8000</v>
      </c>
      <c r="M13" s="32">
        <v>4.519774011299435E-2</v>
      </c>
      <c r="N13" s="29">
        <v>40</v>
      </c>
      <c r="O13" s="21" t="s">
        <v>59</v>
      </c>
      <c r="P13" s="35">
        <f>Table256[[#This Row],[ANNUAL SALARY]]/2080</f>
        <v>88.942307692307693</v>
      </c>
      <c r="Q13" s="41">
        <v>0.04</v>
      </c>
      <c r="R13" s="22">
        <f t="shared" si="0"/>
        <v>7400</v>
      </c>
      <c r="S13" s="22">
        <f t="shared" si="1"/>
        <v>192400</v>
      </c>
      <c r="T13" s="45"/>
    </row>
    <row r="14" spans="1:20" ht="24">
      <c r="A14" s="23" t="s">
        <v>55</v>
      </c>
      <c r="B14" s="23" t="s">
        <v>56</v>
      </c>
      <c r="C14" s="23" t="s">
        <v>28</v>
      </c>
      <c r="D14" s="23" t="s">
        <v>29</v>
      </c>
      <c r="E14" s="23" t="s">
        <v>41</v>
      </c>
      <c r="F14" s="23" t="s">
        <v>44</v>
      </c>
      <c r="G14" s="23" t="s">
        <v>37</v>
      </c>
      <c r="H14" s="39">
        <v>185000</v>
      </c>
      <c r="I14" s="20" t="s">
        <v>58</v>
      </c>
      <c r="J14" s="39">
        <v>177000</v>
      </c>
      <c r="K14" s="23" t="s">
        <v>34</v>
      </c>
      <c r="L14" s="36">
        <v>7000</v>
      </c>
      <c r="M14" s="34">
        <v>4.1176470588235294E-2</v>
      </c>
      <c r="N14" s="30">
        <v>40</v>
      </c>
      <c r="O14" s="24" t="s">
        <v>46</v>
      </c>
      <c r="P14" s="36">
        <f>Table256[[#This Row],[ANNUAL SALARY]]/2080</f>
        <v>85.09615384615384</v>
      </c>
      <c r="Q14" s="25"/>
      <c r="R14" s="1" t="str">
        <f t="shared" si="0"/>
        <v/>
      </c>
      <c r="S14" s="1" t="str">
        <f t="shared" si="1"/>
        <v/>
      </c>
    </row>
    <row r="15" spans="1:20" ht="24">
      <c r="A15" s="23" t="s">
        <v>55</v>
      </c>
      <c r="B15" s="23" t="s">
        <v>56</v>
      </c>
      <c r="C15" s="23" t="s">
        <v>28</v>
      </c>
      <c r="D15" s="23" t="s">
        <v>29</v>
      </c>
      <c r="E15" s="23" t="s">
        <v>41</v>
      </c>
      <c r="F15" s="23" t="s">
        <v>60</v>
      </c>
      <c r="G15" s="23" t="s">
        <v>37</v>
      </c>
      <c r="H15" s="39">
        <v>185000</v>
      </c>
      <c r="I15" s="20" t="s">
        <v>58</v>
      </c>
      <c r="J15" s="39">
        <v>170000</v>
      </c>
      <c r="K15" s="23" t="s">
        <v>34</v>
      </c>
      <c r="L15" s="36"/>
      <c r="M15" s="34"/>
      <c r="N15" s="30">
        <v>40</v>
      </c>
      <c r="O15" s="24" t="s">
        <v>38</v>
      </c>
      <c r="P15" s="36">
        <f>Table256[[#This Row],[ANNUAL SALARY]]/2080</f>
        <v>81.730769230769226</v>
      </c>
      <c r="Q15" s="25"/>
      <c r="R15" s="1" t="str">
        <f t="shared" si="0"/>
        <v/>
      </c>
      <c r="S15" s="1" t="str">
        <f t="shared" si="1"/>
        <v/>
      </c>
    </row>
    <row r="16" spans="1:20">
      <c r="A16" s="19" t="s">
        <v>61</v>
      </c>
      <c r="B16" s="19" t="s">
        <v>62</v>
      </c>
      <c r="C16" s="19" t="s">
        <v>28</v>
      </c>
      <c r="D16" s="19" t="s">
        <v>29</v>
      </c>
      <c r="E16" s="19" t="s">
        <v>30</v>
      </c>
      <c r="F16" s="19" t="s">
        <v>63</v>
      </c>
      <c r="G16" s="19" t="s">
        <v>32</v>
      </c>
      <c r="H16" s="38">
        <v>110000</v>
      </c>
      <c r="I16" s="26" t="s">
        <v>64</v>
      </c>
      <c r="J16" s="38">
        <v>110000</v>
      </c>
      <c r="K16" s="19" t="s">
        <v>34</v>
      </c>
      <c r="L16" s="35">
        <v>26000</v>
      </c>
      <c r="M16" s="32">
        <v>0.30952380952380953</v>
      </c>
      <c r="N16" s="29">
        <v>40</v>
      </c>
      <c r="O16" s="21" t="s">
        <v>43</v>
      </c>
      <c r="P16" s="35">
        <f>Table256[[#This Row],[ANNUAL SALARY]]/2080</f>
        <v>52.884615384615387</v>
      </c>
      <c r="Q16" s="41">
        <v>0.04</v>
      </c>
      <c r="R16" s="22">
        <f t="shared" si="0"/>
        <v>4400</v>
      </c>
      <c r="S16" s="22">
        <f t="shared" si="1"/>
        <v>114400</v>
      </c>
      <c r="T16" s="45"/>
    </row>
    <row r="17" spans="1:20">
      <c r="A17" s="23" t="s">
        <v>61</v>
      </c>
      <c r="B17" s="23" t="s">
        <v>62</v>
      </c>
      <c r="C17" s="23" t="s">
        <v>28</v>
      </c>
      <c r="D17" s="23" t="s">
        <v>29</v>
      </c>
      <c r="E17" s="23" t="s">
        <v>30</v>
      </c>
      <c r="F17" s="23" t="s">
        <v>44</v>
      </c>
      <c r="G17" s="23" t="s">
        <v>37</v>
      </c>
      <c r="H17" s="39">
        <v>110000</v>
      </c>
      <c r="I17" s="20" t="s">
        <v>65</v>
      </c>
      <c r="J17" s="39">
        <v>84000</v>
      </c>
      <c r="K17" s="23" t="s">
        <v>34</v>
      </c>
      <c r="L17" s="36">
        <v>4000</v>
      </c>
      <c r="M17" s="34">
        <v>0.05</v>
      </c>
      <c r="N17" s="30">
        <v>40</v>
      </c>
      <c r="O17" s="24" t="s">
        <v>46</v>
      </c>
      <c r="P17" s="36">
        <f>Table256[[#This Row],[ANNUAL SALARY]]/2080</f>
        <v>40.384615384615387</v>
      </c>
      <c r="Q17" s="25"/>
      <c r="R17" s="1" t="str">
        <f t="shared" si="0"/>
        <v/>
      </c>
      <c r="S17" s="1" t="str">
        <f t="shared" si="1"/>
        <v/>
      </c>
    </row>
    <row r="18" spans="1:20">
      <c r="A18" s="23" t="s">
        <v>61</v>
      </c>
      <c r="B18" s="23" t="s">
        <v>62</v>
      </c>
      <c r="C18" s="23" t="s">
        <v>28</v>
      </c>
      <c r="D18" s="23" t="s">
        <v>29</v>
      </c>
      <c r="E18" s="23" t="s">
        <v>30</v>
      </c>
      <c r="F18" s="23" t="s">
        <v>66</v>
      </c>
      <c r="G18" s="23" t="s">
        <v>37</v>
      </c>
      <c r="H18" s="39">
        <v>110000</v>
      </c>
      <c r="I18" s="20" t="s">
        <v>65</v>
      </c>
      <c r="J18" s="39">
        <v>80000</v>
      </c>
      <c r="K18" s="23" t="s">
        <v>34</v>
      </c>
      <c r="L18" s="36"/>
      <c r="M18" s="34"/>
      <c r="N18" s="30">
        <v>40</v>
      </c>
      <c r="O18" s="24" t="s">
        <v>38</v>
      </c>
      <c r="P18" s="36">
        <f>Table256[[#This Row],[ANNUAL SALARY]]/2080</f>
        <v>38.46153846153846</v>
      </c>
      <c r="Q18" s="25"/>
      <c r="R18" s="1" t="str">
        <f t="shared" si="0"/>
        <v/>
      </c>
      <c r="S18" s="1" t="str">
        <f t="shared" si="1"/>
        <v/>
      </c>
    </row>
    <row r="19" spans="1:20">
      <c r="A19" s="19" t="s">
        <v>67</v>
      </c>
      <c r="B19" s="19" t="s">
        <v>68</v>
      </c>
      <c r="C19" s="19" t="s">
        <v>28</v>
      </c>
      <c r="D19" s="19" t="s">
        <v>29</v>
      </c>
      <c r="E19" s="19" t="s">
        <v>41</v>
      </c>
      <c r="F19" s="19" t="s">
        <v>31</v>
      </c>
      <c r="G19" s="19" t="s">
        <v>32</v>
      </c>
      <c r="H19" s="38">
        <v>115000</v>
      </c>
      <c r="I19" s="26" t="s">
        <v>69</v>
      </c>
      <c r="J19" s="38">
        <v>115000</v>
      </c>
      <c r="K19" s="19" t="s">
        <v>34</v>
      </c>
      <c r="L19" s="35">
        <v>9999.7799999999988</v>
      </c>
      <c r="M19" s="32">
        <v>9.5235800458322833E-2</v>
      </c>
      <c r="N19" s="29">
        <v>40</v>
      </c>
      <c r="O19" s="21" t="s">
        <v>43</v>
      </c>
      <c r="P19" s="35">
        <f>Table256[[#This Row],[ANNUAL SALARY]]/2080</f>
        <v>55.28846153846154</v>
      </c>
      <c r="Q19" s="41">
        <v>0.04</v>
      </c>
      <c r="R19" s="22">
        <f t="shared" si="0"/>
        <v>4600</v>
      </c>
      <c r="S19" s="22">
        <f t="shared" si="1"/>
        <v>119600</v>
      </c>
      <c r="T19" s="45"/>
    </row>
    <row r="20" spans="1:20">
      <c r="A20" s="23" t="s">
        <v>67</v>
      </c>
      <c r="B20" s="23" t="s">
        <v>68</v>
      </c>
      <c r="C20" s="23" t="s">
        <v>28</v>
      </c>
      <c r="D20" s="23" t="s">
        <v>29</v>
      </c>
      <c r="E20" s="23" t="s">
        <v>41</v>
      </c>
      <c r="F20" s="23" t="s">
        <v>70</v>
      </c>
      <c r="G20" s="23" t="s">
        <v>37</v>
      </c>
      <c r="H20" s="39">
        <v>115000</v>
      </c>
      <c r="I20" s="20" t="s">
        <v>71</v>
      </c>
      <c r="J20" s="39">
        <v>105000.22</v>
      </c>
      <c r="K20" s="23" t="s">
        <v>34</v>
      </c>
      <c r="L20" s="36"/>
      <c r="M20" s="34"/>
      <c r="N20" s="30">
        <v>40</v>
      </c>
      <c r="O20" s="24" t="s">
        <v>38</v>
      </c>
      <c r="P20" s="36">
        <f>Table256[[#This Row],[ANNUAL SALARY]]/2080</f>
        <v>50.480874999999997</v>
      </c>
      <c r="Q20" s="25"/>
      <c r="R20" s="1" t="str">
        <f t="shared" si="0"/>
        <v/>
      </c>
      <c r="S20" s="1" t="str">
        <f t="shared" si="1"/>
        <v/>
      </c>
    </row>
    <row r="21" spans="1:20">
      <c r="A21" s="19" t="s">
        <v>72</v>
      </c>
      <c r="B21" s="19" t="s">
        <v>73</v>
      </c>
      <c r="C21" s="19" t="s">
        <v>28</v>
      </c>
      <c r="D21" s="19" t="s">
        <v>29</v>
      </c>
      <c r="E21" s="19" t="s">
        <v>41</v>
      </c>
      <c r="F21" s="19" t="s">
        <v>31</v>
      </c>
      <c r="G21" s="19" t="s">
        <v>32</v>
      </c>
      <c r="H21" s="38">
        <v>120000</v>
      </c>
      <c r="I21" s="26" t="s">
        <v>69</v>
      </c>
      <c r="J21" s="38">
        <v>120000</v>
      </c>
      <c r="K21" s="19" t="s">
        <v>34</v>
      </c>
      <c r="L21" s="35">
        <v>6000</v>
      </c>
      <c r="M21" s="32">
        <v>5.2631578947368418E-2</v>
      </c>
      <c r="N21" s="29">
        <v>40</v>
      </c>
      <c r="O21" s="21" t="s">
        <v>35</v>
      </c>
      <c r="P21" s="35">
        <f>Table256[[#This Row],[ANNUAL SALARY]]/2080</f>
        <v>57.692307692307693</v>
      </c>
      <c r="Q21" s="41">
        <v>0.04</v>
      </c>
      <c r="R21" s="22">
        <f t="shared" si="0"/>
        <v>4800</v>
      </c>
      <c r="S21" s="22">
        <f t="shared" si="1"/>
        <v>124800</v>
      </c>
      <c r="T21" s="45"/>
    </row>
    <row r="22" spans="1:20">
      <c r="A22" s="23" t="s">
        <v>72</v>
      </c>
      <c r="B22" s="23" t="s">
        <v>73</v>
      </c>
      <c r="C22" s="23" t="s">
        <v>28</v>
      </c>
      <c r="D22" s="23" t="s">
        <v>29</v>
      </c>
      <c r="E22" s="23" t="s">
        <v>41</v>
      </c>
      <c r="F22" s="23" t="s">
        <v>44</v>
      </c>
      <c r="G22" s="23" t="s">
        <v>37</v>
      </c>
      <c r="H22" s="39">
        <v>120000</v>
      </c>
      <c r="I22" s="20" t="s">
        <v>69</v>
      </c>
      <c r="J22" s="39">
        <v>114000</v>
      </c>
      <c r="K22" s="23" t="s">
        <v>34</v>
      </c>
      <c r="L22" s="36">
        <v>5000</v>
      </c>
      <c r="M22" s="34">
        <v>4.5871559633027525E-2</v>
      </c>
      <c r="N22" s="30">
        <v>40</v>
      </c>
      <c r="O22" s="24" t="s">
        <v>46</v>
      </c>
      <c r="P22" s="36">
        <f>Table256[[#This Row],[ANNUAL SALARY]]/2080</f>
        <v>54.807692307692307</v>
      </c>
      <c r="Q22" s="25"/>
      <c r="R22" s="1" t="str">
        <f t="shared" si="0"/>
        <v/>
      </c>
      <c r="S22" s="1" t="str">
        <f t="shared" si="1"/>
        <v/>
      </c>
    </row>
    <row r="23" spans="1:20">
      <c r="A23" s="23" t="s">
        <v>72</v>
      </c>
      <c r="B23" s="23" t="s">
        <v>73</v>
      </c>
      <c r="C23" s="23" t="s">
        <v>28</v>
      </c>
      <c r="D23" s="23" t="s">
        <v>29</v>
      </c>
      <c r="E23" s="23" t="s">
        <v>41</v>
      </c>
      <c r="F23" s="23" t="s">
        <v>74</v>
      </c>
      <c r="G23" s="23" t="s">
        <v>37</v>
      </c>
      <c r="H23" s="39">
        <v>120000</v>
      </c>
      <c r="I23" s="20" t="s">
        <v>69</v>
      </c>
      <c r="J23" s="39">
        <v>109000</v>
      </c>
      <c r="K23" s="23" t="s">
        <v>34</v>
      </c>
      <c r="L23" s="36"/>
      <c r="M23" s="34"/>
      <c r="N23" s="30">
        <v>40</v>
      </c>
      <c r="O23" s="24" t="s">
        <v>38</v>
      </c>
      <c r="P23" s="36">
        <f>Table256[[#This Row],[ANNUAL SALARY]]/2080</f>
        <v>52.403846153846153</v>
      </c>
      <c r="Q23" s="25"/>
      <c r="R23" s="1" t="str">
        <f t="shared" si="0"/>
        <v/>
      </c>
      <c r="S23" s="1" t="str">
        <f t="shared" si="1"/>
        <v/>
      </c>
    </row>
    <row r="24" spans="1:20">
      <c r="A24" s="19" t="s">
        <v>75</v>
      </c>
      <c r="B24" s="19" t="s">
        <v>76</v>
      </c>
      <c r="C24" s="19" t="s">
        <v>28</v>
      </c>
      <c r="D24" s="19" t="s">
        <v>29</v>
      </c>
      <c r="E24" s="19" t="s">
        <v>41</v>
      </c>
      <c r="F24" s="19" t="s">
        <v>31</v>
      </c>
      <c r="G24" s="19" t="s">
        <v>32</v>
      </c>
      <c r="H24" s="38">
        <v>124000</v>
      </c>
      <c r="I24" s="26" t="s">
        <v>69</v>
      </c>
      <c r="J24" s="38">
        <v>124000</v>
      </c>
      <c r="K24" s="19" t="s">
        <v>34</v>
      </c>
      <c r="L24" s="35">
        <v>5000</v>
      </c>
      <c r="M24" s="32">
        <v>4.2016806722689079E-2</v>
      </c>
      <c r="N24" s="29">
        <v>40</v>
      </c>
      <c r="O24" s="21" t="s">
        <v>35</v>
      </c>
      <c r="P24" s="35">
        <f>Table256[[#This Row],[ANNUAL SALARY]]/2080</f>
        <v>59.615384615384613</v>
      </c>
      <c r="Q24" s="41">
        <v>0.04</v>
      </c>
      <c r="R24" s="22">
        <f t="shared" si="0"/>
        <v>4960</v>
      </c>
      <c r="S24" s="22">
        <f t="shared" si="1"/>
        <v>128960</v>
      </c>
      <c r="T24" s="45"/>
    </row>
    <row r="25" spans="1:20">
      <c r="A25" s="23" t="s">
        <v>75</v>
      </c>
      <c r="B25" s="23" t="s">
        <v>76</v>
      </c>
      <c r="C25" s="23" t="s">
        <v>28</v>
      </c>
      <c r="D25" s="23" t="s">
        <v>29</v>
      </c>
      <c r="E25" s="23" t="s">
        <v>41</v>
      </c>
      <c r="F25" s="23" t="s">
        <v>44</v>
      </c>
      <c r="G25" s="23" t="s">
        <v>37</v>
      </c>
      <c r="H25" s="39">
        <v>124000</v>
      </c>
      <c r="I25" s="20" t="s">
        <v>69</v>
      </c>
      <c r="J25" s="39">
        <v>119000</v>
      </c>
      <c r="K25" s="23" t="s">
        <v>34</v>
      </c>
      <c r="L25" s="36">
        <v>4000</v>
      </c>
      <c r="M25" s="34">
        <v>3.4782608695652174E-2</v>
      </c>
      <c r="N25" s="30">
        <v>40</v>
      </c>
      <c r="O25" s="24" t="s">
        <v>46</v>
      </c>
      <c r="P25" s="36">
        <f>Table256[[#This Row],[ANNUAL SALARY]]/2080</f>
        <v>57.21153846153846</v>
      </c>
      <c r="Q25" s="25"/>
      <c r="R25" s="1" t="str">
        <f t="shared" si="0"/>
        <v/>
      </c>
      <c r="S25" s="1" t="str">
        <f t="shared" si="1"/>
        <v/>
      </c>
    </row>
    <row r="26" spans="1:20">
      <c r="A26" s="23" t="s">
        <v>75</v>
      </c>
      <c r="B26" s="23" t="s">
        <v>76</v>
      </c>
      <c r="C26" s="23" t="s">
        <v>28</v>
      </c>
      <c r="D26" s="23" t="s">
        <v>29</v>
      </c>
      <c r="E26" s="23" t="s">
        <v>41</v>
      </c>
      <c r="F26" s="23" t="s">
        <v>77</v>
      </c>
      <c r="G26" s="23" t="s">
        <v>37</v>
      </c>
      <c r="H26" s="39">
        <v>124000</v>
      </c>
      <c r="I26" s="20" t="s">
        <v>69</v>
      </c>
      <c r="J26" s="39">
        <v>115000</v>
      </c>
      <c r="K26" s="23" t="s">
        <v>34</v>
      </c>
      <c r="L26" s="36">
        <v>8000</v>
      </c>
      <c r="M26" s="34">
        <v>7.476635514018691E-2</v>
      </c>
      <c r="N26" s="30">
        <v>40</v>
      </c>
      <c r="O26" s="24" t="s">
        <v>43</v>
      </c>
      <c r="P26" s="36">
        <f>Table256[[#This Row],[ANNUAL SALARY]]/2080</f>
        <v>55.28846153846154</v>
      </c>
      <c r="Q26" s="25"/>
      <c r="R26" s="1" t="str">
        <f t="shared" si="0"/>
        <v/>
      </c>
      <c r="S26" s="1" t="str">
        <f t="shared" si="1"/>
        <v/>
      </c>
    </row>
    <row r="27" spans="1:20">
      <c r="A27" s="23" t="s">
        <v>75</v>
      </c>
      <c r="B27" s="23" t="s">
        <v>76</v>
      </c>
      <c r="C27" s="23" t="s">
        <v>28</v>
      </c>
      <c r="D27" s="23" t="s">
        <v>29</v>
      </c>
      <c r="E27" s="23" t="s">
        <v>41</v>
      </c>
      <c r="F27" s="23" t="s">
        <v>78</v>
      </c>
      <c r="G27" s="23" t="s">
        <v>37</v>
      </c>
      <c r="H27" s="39">
        <v>124000</v>
      </c>
      <c r="I27" s="20" t="s">
        <v>71</v>
      </c>
      <c r="J27" s="39">
        <v>107000</v>
      </c>
      <c r="K27" s="23" t="s">
        <v>34</v>
      </c>
      <c r="L27" s="36"/>
      <c r="M27" s="34"/>
      <c r="N27" s="30">
        <v>40</v>
      </c>
      <c r="O27" s="24" t="s">
        <v>38</v>
      </c>
      <c r="P27" s="36">
        <f>Table256[[#This Row],[ANNUAL SALARY]]/2080</f>
        <v>51.442307692307693</v>
      </c>
      <c r="Q27" s="25"/>
      <c r="R27" s="1" t="str">
        <f t="shared" si="0"/>
        <v/>
      </c>
      <c r="S27" s="1" t="str">
        <f t="shared" si="1"/>
        <v/>
      </c>
    </row>
    <row r="28" spans="1:20" ht="24">
      <c r="A28" s="19" t="s">
        <v>79</v>
      </c>
      <c r="B28" s="19" t="s">
        <v>80</v>
      </c>
      <c r="C28" s="19" t="s">
        <v>28</v>
      </c>
      <c r="D28" s="19" t="s">
        <v>29</v>
      </c>
      <c r="E28" s="19" t="s">
        <v>41</v>
      </c>
      <c r="F28" s="19" t="s">
        <v>31</v>
      </c>
      <c r="G28" s="19" t="s">
        <v>32</v>
      </c>
      <c r="H28" s="38">
        <v>100548.76</v>
      </c>
      <c r="I28" s="26" t="s">
        <v>81</v>
      </c>
      <c r="J28" s="38">
        <v>100548.76</v>
      </c>
      <c r="K28" s="19" t="s">
        <v>34</v>
      </c>
      <c r="L28" s="35">
        <v>6548.7599999999948</v>
      </c>
      <c r="M28" s="32">
        <v>6.9667659574468035E-2</v>
      </c>
      <c r="N28" s="29">
        <v>40</v>
      </c>
      <c r="O28" s="21" t="s">
        <v>35</v>
      </c>
      <c r="P28" s="35">
        <f>Table256[[#This Row],[ANNUAL SALARY]]/2080</f>
        <v>48.34075</v>
      </c>
      <c r="Q28" s="41">
        <v>0.04</v>
      </c>
      <c r="R28" s="22">
        <f t="shared" si="0"/>
        <v>4021.9503999999997</v>
      </c>
      <c r="S28" s="22">
        <f t="shared" si="1"/>
        <v>104570.7104</v>
      </c>
      <c r="T28" s="45"/>
    </row>
    <row r="29" spans="1:20" ht="24">
      <c r="A29" s="23" t="s">
        <v>79</v>
      </c>
      <c r="B29" s="23" t="s">
        <v>80</v>
      </c>
      <c r="C29" s="23" t="s">
        <v>28</v>
      </c>
      <c r="D29" s="23" t="s">
        <v>29</v>
      </c>
      <c r="E29" s="23" t="s">
        <v>41</v>
      </c>
      <c r="F29" s="23" t="s">
        <v>82</v>
      </c>
      <c r="G29" s="23" t="s">
        <v>37</v>
      </c>
      <c r="H29" s="39">
        <v>100548.76</v>
      </c>
      <c r="I29" s="20" t="s">
        <v>81</v>
      </c>
      <c r="J29" s="39">
        <v>94000</v>
      </c>
      <c r="K29" s="23" t="s">
        <v>34</v>
      </c>
      <c r="L29" s="36">
        <v>9999.7200000000012</v>
      </c>
      <c r="M29" s="34">
        <v>0.11904388890132273</v>
      </c>
      <c r="N29" s="30">
        <v>40</v>
      </c>
      <c r="O29" s="24" t="s">
        <v>43</v>
      </c>
      <c r="P29" s="36">
        <f>Table256[[#This Row],[ANNUAL SALARY]]/2080</f>
        <v>45.192307692307693</v>
      </c>
      <c r="Q29" s="25"/>
      <c r="R29" s="1" t="str">
        <f t="shared" si="0"/>
        <v/>
      </c>
      <c r="S29" s="1" t="str">
        <f t="shared" si="1"/>
        <v/>
      </c>
    </row>
    <row r="30" spans="1:20" ht="24">
      <c r="A30" s="23" t="s">
        <v>79</v>
      </c>
      <c r="B30" s="23" t="s">
        <v>80</v>
      </c>
      <c r="C30" s="23" t="s">
        <v>28</v>
      </c>
      <c r="D30" s="23" t="s">
        <v>29</v>
      </c>
      <c r="E30" s="23" t="s">
        <v>41</v>
      </c>
      <c r="F30" s="23" t="s">
        <v>44</v>
      </c>
      <c r="G30" s="23" t="s">
        <v>37</v>
      </c>
      <c r="H30" s="39">
        <v>100548.76</v>
      </c>
      <c r="I30" s="20" t="s">
        <v>83</v>
      </c>
      <c r="J30" s="39">
        <v>84000.28</v>
      </c>
      <c r="K30" s="23" t="s">
        <v>34</v>
      </c>
      <c r="L30" s="36">
        <v>3999.8399999999965</v>
      </c>
      <c r="M30" s="34">
        <v>4.9997725012512387E-2</v>
      </c>
      <c r="N30" s="30">
        <v>40</v>
      </c>
      <c r="O30" s="24" t="s">
        <v>46</v>
      </c>
      <c r="P30" s="36">
        <f>Table256[[#This Row],[ANNUAL SALARY]]/2080</f>
        <v>40.384749999999997</v>
      </c>
      <c r="Q30" s="25"/>
      <c r="R30" s="1" t="str">
        <f t="shared" si="0"/>
        <v/>
      </c>
      <c r="S30" s="1" t="str">
        <f t="shared" si="1"/>
        <v/>
      </c>
    </row>
    <row r="31" spans="1:20" ht="24">
      <c r="A31" s="23" t="s">
        <v>79</v>
      </c>
      <c r="B31" s="23" t="s">
        <v>80</v>
      </c>
      <c r="C31" s="23" t="s">
        <v>28</v>
      </c>
      <c r="D31" s="23" t="s">
        <v>29</v>
      </c>
      <c r="E31" s="23" t="s">
        <v>41</v>
      </c>
      <c r="F31" s="23" t="s">
        <v>84</v>
      </c>
      <c r="G31" s="23" t="s">
        <v>37</v>
      </c>
      <c r="H31" s="39">
        <v>100548.76</v>
      </c>
      <c r="I31" s="20" t="s">
        <v>83</v>
      </c>
      <c r="J31" s="39">
        <v>80000.44</v>
      </c>
      <c r="K31" s="23" t="s">
        <v>34</v>
      </c>
      <c r="L31" s="36"/>
      <c r="M31" s="34"/>
      <c r="N31" s="30">
        <v>40</v>
      </c>
      <c r="O31" s="24" t="s">
        <v>38</v>
      </c>
      <c r="P31" s="36">
        <f>Table256[[#This Row],[ANNUAL SALARY]]/2080</f>
        <v>38.461750000000002</v>
      </c>
      <c r="Q31" s="25"/>
      <c r="R31" s="1" t="str">
        <f t="shared" si="0"/>
        <v/>
      </c>
      <c r="S31" s="1" t="str">
        <f t="shared" si="1"/>
        <v/>
      </c>
    </row>
    <row r="32" spans="1:20" ht="36">
      <c r="A32" s="19" t="s">
        <v>85</v>
      </c>
      <c r="B32" s="19" t="s">
        <v>86</v>
      </c>
      <c r="C32" s="19" t="s">
        <v>28</v>
      </c>
      <c r="D32" s="19" t="s">
        <v>29</v>
      </c>
      <c r="E32" s="19" t="s">
        <v>41</v>
      </c>
      <c r="F32" s="19" t="s">
        <v>31</v>
      </c>
      <c r="G32" s="19" t="s">
        <v>32</v>
      </c>
      <c r="H32" s="38">
        <v>106000</v>
      </c>
      <c r="I32" s="26" t="s">
        <v>87</v>
      </c>
      <c r="J32" s="38">
        <v>106000</v>
      </c>
      <c r="K32" s="19" t="s">
        <v>34</v>
      </c>
      <c r="L32" s="35">
        <v>6000</v>
      </c>
      <c r="M32" s="32">
        <v>0.06</v>
      </c>
      <c r="N32" s="29">
        <v>40</v>
      </c>
      <c r="O32" s="21" t="s">
        <v>35</v>
      </c>
      <c r="P32" s="35">
        <f>Table256[[#This Row],[ANNUAL SALARY]]/2080</f>
        <v>50.96153846153846</v>
      </c>
      <c r="Q32" s="41">
        <v>0.04</v>
      </c>
      <c r="R32" s="22">
        <f t="shared" si="0"/>
        <v>4240</v>
      </c>
      <c r="S32" s="22">
        <f t="shared" si="1"/>
        <v>110240</v>
      </c>
      <c r="T32" s="45"/>
    </row>
    <row r="33" spans="1:20" ht="36">
      <c r="A33" s="23" t="s">
        <v>85</v>
      </c>
      <c r="B33" s="23" t="s">
        <v>86</v>
      </c>
      <c r="C33" s="23" t="s">
        <v>28</v>
      </c>
      <c r="D33" s="23" t="s">
        <v>29</v>
      </c>
      <c r="E33" s="23" t="s">
        <v>41</v>
      </c>
      <c r="F33" s="23" t="s">
        <v>88</v>
      </c>
      <c r="G33" s="23" t="s">
        <v>37</v>
      </c>
      <c r="H33" s="39">
        <v>106000</v>
      </c>
      <c r="I33" s="20" t="s">
        <v>87</v>
      </c>
      <c r="J33" s="39">
        <v>100000</v>
      </c>
      <c r="K33" s="23" t="s">
        <v>34</v>
      </c>
      <c r="L33" s="36">
        <v>23000</v>
      </c>
      <c r="M33" s="34">
        <v>0.29870129870129869</v>
      </c>
      <c r="N33" s="30">
        <v>40</v>
      </c>
      <c r="O33" s="24" t="s">
        <v>43</v>
      </c>
      <c r="P33" s="36">
        <f>Table256[[#This Row],[ANNUAL SALARY]]/2080</f>
        <v>48.07692307692308</v>
      </c>
      <c r="Q33" s="25"/>
      <c r="R33" s="1" t="str">
        <f t="shared" si="0"/>
        <v/>
      </c>
      <c r="S33" s="1" t="str">
        <f t="shared" si="1"/>
        <v/>
      </c>
    </row>
    <row r="34" spans="1:20" ht="36">
      <c r="A34" s="23" t="s">
        <v>85</v>
      </c>
      <c r="B34" s="23" t="s">
        <v>86</v>
      </c>
      <c r="C34" s="23" t="s">
        <v>28</v>
      </c>
      <c r="D34" s="23" t="s">
        <v>29</v>
      </c>
      <c r="E34" s="23" t="s">
        <v>41</v>
      </c>
      <c r="F34" s="23" t="s">
        <v>44</v>
      </c>
      <c r="G34" s="23" t="s">
        <v>37</v>
      </c>
      <c r="H34" s="39">
        <v>106000</v>
      </c>
      <c r="I34" s="20" t="s">
        <v>89</v>
      </c>
      <c r="J34" s="39">
        <v>77000</v>
      </c>
      <c r="K34" s="23" t="s">
        <v>34</v>
      </c>
      <c r="L34" s="36">
        <v>3000</v>
      </c>
      <c r="M34" s="34">
        <v>4.0540540540540543E-2</v>
      </c>
      <c r="N34" s="30">
        <v>40</v>
      </c>
      <c r="O34" s="24" t="s">
        <v>46</v>
      </c>
      <c r="P34" s="36">
        <f>Table256[[#This Row],[ANNUAL SALARY]]/2080</f>
        <v>37.019230769230766</v>
      </c>
      <c r="Q34" s="25"/>
      <c r="R34" s="1" t="str">
        <f t="shared" si="0"/>
        <v/>
      </c>
      <c r="S34" s="1" t="str">
        <f t="shared" si="1"/>
        <v/>
      </c>
    </row>
    <row r="35" spans="1:20" ht="36">
      <c r="A35" s="23" t="s">
        <v>85</v>
      </c>
      <c r="B35" s="23" t="s">
        <v>86</v>
      </c>
      <c r="C35" s="23" t="s">
        <v>28</v>
      </c>
      <c r="D35" s="23" t="s">
        <v>29</v>
      </c>
      <c r="E35" s="23" t="s">
        <v>41</v>
      </c>
      <c r="F35" s="23" t="s">
        <v>90</v>
      </c>
      <c r="G35" s="23" t="s">
        <v>37</v>
      </c>
      <c r="H35" s="39">
        <v>106000</v>
      </c>
      <c r="I35" s="20" t="s">
        <v>89</v>
      </c>
      <c r="J35" s="39">
        <v>74000</v>
      </c>
      <c r="K35" s="23" t="s">
        <v>34</v>
      </c>
      <c r="L35" s="36"/>
      <c r="M35" s="34"/>
      <c r="N35" s="30">
        <v>40</v>
      </c>
      <c r="O35" s="24" t="s">
        <v>38</v>
      </c>
      <c r="P35" s="36">
        <f>Table256[[#This Row],[ANNUAL SALARY]]/2080</f>
        <v>35.57692307692308</v>
      </c>
      <c r="Q35" s="25"/>
      <c r="R35" s="1" t="str">
        <f t="shared" si="0"/>
        <v/>
      </c>
      <c r="S35" s="1" t="str">
        <f t="shared" si="1"/>
        <v/>
      </c>
    </row>
    <row r="36" spans="1:20" ht="24">
      <c r="A36" s="19" t="s">
        <v>91</v>
      </c>
      <c r="B36" s="19" t="s">
        <v>92</v>
      </c>
      <c r="C36" s="19" t="s">
        <v>28</v>
      </c>
      <c r="D36" s="19" t="s">
        <v>29</v>
      </c>
      <c r="E36" s="19" t="s">
        <v>41</v>
      </c>
      <c r="F36" s="19" t="s">
        <v>44</v>
      </c>
      <c r="G36" s="19" t="s">
        <v>32</v>
      </c>
      <c r="H36" s="38">
        <v>68250</v>
      </c>
      <c r="I36" s="26" t="s">
        <v>93</v>
      </c>
      <c r="J36" s="38">
        <v>68250</v>
      </c>
      <c r="K36" s="19" t="s">
        <v>34</v>
      </c>
      <c r="L36" s="35">
        <v>3250</v>
      </c>
      <c r="M36" s="32">
        <v>0.05</v>
      </c>
      <c r="N36" s="29">
        <v>40</v>
      </c>
      <c r="O36" s="21" t="s">
        <v>46</v>
      </c>
      <c r="P36" s="35">
        <f>Table256[[#This Row],[ANNUAL SALARY]]/2080</f>
        <v>32.8125</v>
      </c>
      <c r="Q36" s="41">
        <v>0.04</v>
      </c>
      <c r="R36" s="22">
        <f t="shared" si="0"/>
        <v>2730</v>
      </c>
      <c r="S36" s="22">
        <f t="shared" si="1"/>
        <v>70980</v>
      </c>
      <c r="T36" s="45"/>
    </row>
    <row r="37" spans="1:20" ht="24">
      <c r="A37" s="23" t="s">
        <v>91</v>
      </c>
      <c r="B37" s="23" t="s">
        <v>92</v>
      </c>
      <c r="C37" s="23" t="s">
        <v>28</v>
      </c>
      <c r="D37" s="23" t="s">
        <v>29</v>
      </c>
      <c r="E37" s="23" t="s">
        <v>41</v>
      </c>
      <c r="F37" s="23" t="s">
        <v>94</v>
      </c>
      <c r="G37" s="23" t="s">
        <v>37</v>
      </c>
      <c r="H37" s="39">
        <v>68250</v>
      </c>
      <c r="I37" s="20" t="s">
        <v>93</v>
      </c>
      <c r="J37" s="39">
        <v>65000</v>
      </c>
      <c r="K37" s="23" t="s">
        <v>34</v>
      </c>
      <c r="L37" s="36"/>
      <c r="M37" s="34"/>
      <c r="N37" s="30">
        <v>40</v>
      </c>
      <c r="O37" s="24" t="s">
        <v>38</v>
      </c>
      <c r="P37" s="36">
        <f>Table256[[#This Row],[ANNUAL SALARY]]/2080</f>
        <v>31.25</v>
      </c>
      <c r="Q37" s="25"/>
      <c r="R37" s="1" t="str">
        <f t="shared" si="0"/>
        <v/>
      </c>
      <c r="S37" s="1" t="str">
        <f t="shared" si="1"/>
        <v/>
      </c>
    </row>
    <row r="38" spans="1:20" ht="24">
      <c r="A38" s="19" t="s">
        <v>95</v>
      </c>
      <c r="B38" s="19" t="s">
        <v>96</v>
      </c>
      <c r="C38" s="19" t="s">
        <v>28</v>
      </c>
      <c r="D38" s="19" t="s">
        <v>29</v>
      </c>
      <c r="E38" s="19" t="s">
        <v>41</v>
      </c>
      <c r="F38" s="19" t="s">
        <v>97</v>
      </c>
      <c r="G38" s="19" t="s">
        <v>32</v>
      </c>
      <c r="H38" s="38">
        <v>115000.08</v>
      </c>
      <c r="I38" s="26" t="s">
        <v>98</v>
      </c>
      <c r="J38" s="38">
        <v>115000.08</v>
      </c>
      <c r="K38" s="19" t="s">
        <v>34</v>
      </c>
      <c r="L38" s="35">
        <v>30999.800000000003</v>
      </c>
      <c r="M38" s="32">
        <v>0.36904400794854497</v>
      </c>
      <c r="N38" s="29">
        <v>40</v>
      </c>
      <c r="O38" s="21" t="s">
        <v>43</v>
      </c>
      <c r="P38" s="35">
        <f>Table256[[#This Row],[ANNUAL SALARY]]/2080</f>
        <v>55.288499999999999</v>
      </c>
      <c r="Q38" s="41">
        <v>0.04</v>
      </c>
      <c r="R38" s="22">
        <f t="shared" ref="R38:R54" si="2">IF(G38="yes",Q38*J38,"")</f>
        <v>4600.0032000000001</v>
      </c>
      <c r="S38" s="22">
        <f t="shared" ref="S38:S54" si="3">IF(G38="yes",J38+R38,"")</f>
        <v>119600.08320000001</v>
      </c>
      <c r="T38" s="45"/>
    </row>
    <row r="39" spans="1:20" ht="24">
      <c r="A39" s="23" t="s">
        <v>95</v>
      </c>
      <c r="B39" s="23" t="s">
        <v>96</v>
      </c>
      <c r="C39" s="23" t="s">
        <v>28</v>
      </c>
      <c r="D39" s="23" t="s">
        <v>29</v>
      </c>
      <c r="E39" s="23" t="s">
        <v>41</v>
      </c>
      <c r="F39" s="23" t="s">
        <v>44</v>
      </c>
      <c r="G39" s="23" t="s">
        <v>37</v>
      </c>
      <c r="H39" s="39">
        <v>115000.08</v>
      </c>
      <c r="I39" s="20" t="s">
        <v>99</v>
      </c>
      <c r="J39" s="39">
        <v>84000.28</v>
      </c>
      <c r="K39" s="23" t="s">
        <v>34</v>
      </c>
      <c r="L39" s="36">
        <v>4000.1000000000058</v>
      </c>
      <c r="M39" s="34">
        <v>5.0001137497440708E-2</v>
      </c>
      <c r="N39" s="30">
        <v>40</v>
      </c>
      <c r="O39" s="24" t="s">
        <v>46</v>
      </c>
      <c r="P39" s="36">
        <f>Table256[[#This Row],[ANNUAL SALARY]]/2080</f>
        <v>40.384749999999997</v>
      </c>
      <c r="Q39" s="25"/>
      <c r="R39" s="1" t="str">
        <f t="shared" si="2"/>
        <v/>
      </c>
      <c r="S39" s="1" t="str">
        <f t="shared" si="3"/>
        <v/>
      </c>
    </row>
    <row r="40" spans="1:20" ht="24">
      <c r="A40" s="23" t="s">
        <v>95</v>
      </c>
      <c r="B40" s="23" t="s">
        <v>96</v>
      </c>
      <c r="C40" s="23" t="s">
        <v>28</v>
      </c>
      <c r="D40" s="23" t="s">
        <v>29</v>
      </c>
      <c r="E40" s="23" t="s">
        <v>41</v>
      </c>
      <c r="F40" s="23" t="s">
        <v>100</v>
      </c>
      <c r="G40" s="23" t="s">
        <v>37</v>
      </c>
      <c r="H40" s="39">
        <v>115000.08</v>
      </c>
      <c r="I40" s="20" t="s">
        <v>99</v>
      </c>
      <c r="J40" s="39">
        <v>80000.179999999993</v>
      </c>
      <c r="K40" s="23" t="s">
        <v>34</v>
      </c>
      <c r="L40" s="36"/>
      <c r="M40" s="34"/>
      <c r="N40" s="30">
        <v>40</v>
      </c>
      <c r="O40" s="24" t="s">
        <v>38</v>
      </c>
      <c r="P40" s="36">
        <f>Table256[[#This Row],[ANNUAL SALARY]]/2080</f>
        <v>38.461624999999998</v>
      </c>
      <c r="Q40" s="25"/>
      <c r="R40" s="1" t="str">
        <f t="shared" si="2"/>
        <v/>
      </c>
      <c r="S40" s="1" t="str">
        <f t="shared" si="3"/>
        <v/>
      </c>
    </row>
    <row r="41" spans="1:20">
      <c r="A41" s="19" t="s">
        <v>101</v>
      </c>
      <c r="B41" s="19" t="s">
        <v>102</v>
      </c>
      <c r="C41" s="19" t="s">
        <v>28</v>
      </c>
      <c r="D41" s="19" t="s">
        <v>47</v>
      </c>
      <c r="E41" s="19" t="s">
        <v>41</v>
      </c>
      <c r="F41" s="19" t="s">
        <v>31</v>
      </c>
      <c r="G41" s="19" t="s">
        <v>32</v>
      </c>
      <c r="H41" s="38">
        <v>87000</v>
      </c>
      <c r="I41" s="26" t="s">
        <v>65</v>
      </c>
      <c r="J41" s="38">
        <v>87000</v>
      </c>
      <c r="K41" s="19" t="s">
        <v>34</v>
      </c>
      <c r="L41" s="35">
        <v>4000</v>
      </c>
      <c r="M41" s="32">
        <v>4.8192771084337352E-2</v>
      </c>
      <c r="N41" s="29">
        <v>40</v>
      </c>
      <c r="O41" s="21" t="s">
        <v>35</v>
      </c>
      <c r="P41" s="35">
        <f>Table256[[#This Row],[ANNUAL SALARY]]/2080</f>
        <v>41.82692307692308</v>
      </c>
      <c r="Q41" s="41">
        <v>0.04</v>
      </c>
      <c r="R41" s="22">
        <f t="shared" si="2"/>
        <v>3480</v>
      </c>
      <c r="S41" s="22">
        <f t="shared" si="3"/>
        <v>90480</v>
      </c>
      <c r="T41" s="45"/>
    </row>
    <row r="42" spans="1:20">
      <c r="A42" s="23" t="s">
        <v>101</v>
      </c>
      <c r="B42" s="23" t="s">
        <v>102</v>
      </c>
      <c r="C42" s="23" t="s">
        <v>28</v>
      </c>
      <c r="D42" s="23" t="s">
        <v>47</v>
      </c>
      <c r="E42" s="23" t="s">
        <v>41</v>
      </c>
      <c r="F42" s="23" t="s">
        <v>44</v>
      </c>
      <c r="G42" s="23" t="s">
        <v>37</v>
      </c>
      <c r="H42" s="39">
        <v>87000</v>
      </c>
      <c r="I42" s="20" t="s">
        <v>65</v>
      </c>
      <c r="J42" s="39">
        <v>83000</v>
      </c>
      <c r="K42" s="23" t="s">
        <v>34</v>
      </c>
      <c r="L42" s="36">
        <v>3000</v>
      </c>
      <c r="M42" s="34">
        <v>3.7499999999999999E-2</v>
      </c>
      <c r="N42" s="30">
        <v>40</v>
      </c>
      <c r="O42" s="24" t="s">
        <v>46</v>
      </c>
      <c r="P42" s="36">
        <f>Table256[[#This Row],[ANNUAL SALARY]]/2080</f>
        <v>39.903846153846153</v>
      </c>
      <c r="Q42" s="25"/>
      <c r="R42" s="1" t="str">
        <f t="shared" si="2"/>
        <v/>
      </c>
      <c r="S42" s="1" t="str">
        <f t="shared" si="3"/>
        <v/>
      </c>
    </row>
    <row r="43" spans="1:20">
      <c r="A43" s="23" t="s">
        <v>101</v>
      </c>
      <c r="B43" s="23" t="s">
        <v>102</v>
      </c>
      <c r="C43" s="23" t="s">
        <v>28</v>
      </c>
      <c r="D43" s="23" t="s">
        <v>47</v>
      </c>
      <c r="E43" s="23" t="s">
        <v>41</v>
      </c>
      <c r="F43" s="23" t="s">
        <v>103</v>
      </c>
      <c r="G43" s="23" t="s">
        <v>37</v>
      </c>
      <c r="H43" s="39">
        <v>87000</v>
      </c>
      <c r="I43" s="20" t="s">
        <v>65</v>
      </c>
      <c r="J43" s="39">
        <v>80000</v>
      </c>
      <c r="K43" s="23" t="s">
        <v>34</v>
      </c>
      <c r="L43" s="36"/>
      <c r="M43" s="34"/>
      <c r="N43" s="30">
        <v>40</v>
      </c>
      <c r="O43" s="24" t="s">
        <v>38</v>
      </c>
      <c r="P43" s="36">
        <f>Table256[[#This Row],[ANNUAL SALARY]]/2080</f>
        <v>38.46153846153846</v>
      </c>
      <c r="Q43" s="25"/>
      <c r="R43" s="1" t="str">
        <f t="shared" si="2"/>
        <v/>
      </c>
      <c r="S43" s="1" t="str">
        <f t="shared" si="3"/>
        <v/>
      </c>
    </row>
    <row r="44" spans="1:20" ht="24">
      <c r="A44" s="19" t="s">
        <v>104</v>
      </c>
      <c r="B44" s="19" t="s">
        <v>105</v>
      </c>
      <c r="C44" s="19" t="s">
        <v>28</v>
      </c>
      <c r="D44" s="19" t="s">
        <v>29</v>
      </c>
      <c r="E44" s="19" t="s">
        <v>41</v>
      </c>
      <c r="F44" s="19" t="s">
        <v>97</v>
      </c>
      <c r="G44" s="19" t="s">
        <v>32</v>
      </c>
      <c r="H44" s="38">
        <v>68000.399999999994</v>
      </c>
      <c r="I44" s="26" t="s">
        <v>106</v>
      </c>
      <c r="J44" s="38">
        <v>68000.399999999994</v>
      </c>
      <c r="K44" s="19" t="s">
        <v>34</v>
      </c>
      <c r="L44" s="35">
        <v>20389.199999999997</v>
      </c>
      <c r="M44" s="32">
        <v>0.42824377457404977</v>
      </c>
      <c r="N44" s="29">
        <v>40</v>
      </c>
      <c r="O44" s="21" t="s">
        <v>43</v>
      </c>
      <c r="P44" s="35">
        <f>Table256[[#This Row],[ANNUAL SALARY]]/2080</f>
        <v>32.692499999999995</v>
      </c>
      <c r="Q44" s="41">
        <v>0.04</v>
      </c>
      <c r="R44" s="22">
        <f t="shared" si="2"/>
        <v>2720.0159999999996</v>
      </c>
      <c r="S44" s="22">
        <f t="shared" si="3"/>
        <v>70720.415999999997</v>
      </c>
      <c r="T44" s="45"/>
    </row>
    <row r="45" spans="1:20">
      <c r="A45" s="23" t="s">
        <v>104</v>
      </c>
      <c r="B45" s="23" t="s">
        <v>105</v>
      </c>
      <c r="C45" s="23" t="s">
        <v>28</v>
      </c>
      <c r="D45" s="23" t="s">
        <v>47</v>
      </c>
      <c r="E45" s="23" t="s">
        <v>41</v>
      </c>
      <c r="F45" s="23" t="s">
        <v>31</v>
      </c>
      <c r="G45" s="23" t="s">
        <v>37</v>
      </c>
      <c r="H45" s="39">
        <v>68000.399999999994</v>
      </c>
      <c r="I45" s="20" t="s">
        <v>65</v>
      </c>
      <c r="J45" s="39">
        <v>47611.199999999997</v>
      </c>
      <c r="K45" s="23" t="s">
        <v>34</v>
      </c>
      <c r="L45" s="36">
        <v>3931.1999999999971</v>
      </c>
      <c r="M45" s="34">
        <v>8.9999999999999927E-2</v>
      </c>
      <c r="N45" s="30">
        <v>40</v>
      </c>
      <c r="O45" s="24" t="s">
        <v>35</v>
      </c>
      <c r="P45" s="36">
        <f>Table256[[#This Row],[ANNUAL SALARY]]/2080</f>
        <v>22.889999999999997</v>
      </c>
      <c r="Q45" s="25"/>
      <c r="R45" s="1" t="str">
        <f t="shared" si="2"/>
        <v/>
      </c>
      <c r="S45" s="1" t="str">
        <f t="shared" si="3"/>
        <v/>
      </c>
    </row>
    <row r="46" spans="1:20">
      <c r="A46" s="23" t="s">
        <v>104</v>
      </c>
      <c r="B46" s="23" t="s">
        <v>105</v>
      </c>
      <c r="C46" s="23" t="s">
        <v>28</v>
      </c>
      <c r="D46" s="23" t="s">
        <v>47</v>
      </c>
      <c r="E46" s="23" t="s">
        <v>41</v>
      </c>
      <c r="F46" s="23" t="s">
        <v>44</v>
      </c>
      <c r="G46" s="23" t="s">
        <v>37</v>
      </c>
      <c r="H46" s="39">
        <v>68000.399999999994</v>
      </c>
      <c r="I46" s="20" t="s">
        <v>65</v>
      </c>
      <c r="J46" s="39">
        <v>43680</v>
      </c>
      <c r="K46" s="23" t="s">
        <v>34</v>
      </c>
      <c r="L46" s="36">
        <v>2080</v>
      </c>
      <c r="M46" s="34">
        <v>0.05</v>
      </c>
      <c r="N46" s="30">
        <v>40</v>
      </c>
      <c r="O46" s="24" t="s">
        <v>46</v>
      </c>
      <c r="P46" s="36">
        <f>Table256[[#This Row],[ANNUAL SALARY]]/2080</f>
        <v>21</v>
      </c>
      <c r="Q46" s="25"/>
      <c r="R46" s="1" t="str">
        <f t="shared" si="2"/>
        <v/>
      </c>
      <c r="S46" s="1" t="str">
        <f t="shared" si="3"/>
        <v/>
      </c>
    </row>
    <row r="47" spans="1:20">
      <c r="A47" s="23" t="s">
        <v>104</v>
      </c>
      <c r="B47" s="23" t="s">
        <v>105</v>
      </c>
      <c r="C47" s="23" t="s">
        <v>28</v>
      </c>
      <c r="D47" s="23" t="s">
        <v>47</v>
      </c>
      <c r="E47" s="23" t="s">
        <v>41</v>
      </c>
      <c r="F47" s="23" t="s">
        <v>107</v>
      </c>
      <c r="G47" s="23" t="s">
        <v>37</v>
      </c>
      <c r="H47" s="39">
        <v>68000.399999999994</v>
      </c>
      <c r="I47" s="20" t="s">
        <v>65</v>
      </c>
      <c r="J47" s="39">
        <v>41600</v>
      </c>
      <c r="K47" s="23" t="s">
        <v>34</v>
      </c>
      <c r="L47" s="36"/>
      <c r="M47" s="34"/>
      <c r="N47" s="30">
        <v>40</v>
      </c>
      <c r="O47" s="24" t="s">
        <v>38</v>
      </c>
      <c r="P47" s="36">
        <f>Table256[[#This Row],[ANNUAL SALARY]]/2080</f>
        <v>20</v>
      </c>
      <c r="Q47" s="25"/>
      <c r="R47" s="1" t="str">
        <f t="shared" si="2"/>
        <v/>
      </c>
      <c r="S47" s="1" t="str">
        <f t="shared" si="3"/>
        <v/>
      </c>
    </row>
    <row r="48" spans="1:20" ht="36">
      <c r="A48" s="19" t="s">
        <v>108</v>
      </c>
      <c r="B48" s="19" t="s">
        <v>109</v>
      </c>
      <c r="C48" s="19" t="s">
        <v>28</v>
      </c>
      <c r="D48" s="19" t="s">
        <v>29</v>
      </c>
      <c r="E48" s="19" t="s">
        <v>41</v>
      </c>
      <c r="F48" s="19" t="s">
        <v>97</v>
      </c>
      <c r="G48" s="19" t="s">
        <v>32</v>
      </c>
      <c r="H48" s="38">
        <v>115000.08</v>
      </c>
      <c r="I48" s="26" t="s">
        <v>110</v>
      </c>
      <c r="J48" s="38">
        <v>115000.08</v>
      </c>
      <c r="K48" s="19" t="s">
        <v>34</v>
      </c>
      <c r="L48" s="35">
        <v>28899.520000000004</v>
      </c>
      <c r="M48" s="32">
        <v>0.33564845571271551</v>
      </c>
      <c r="N48" s="29">
        <v>40</v>
      </c>
      <c r="O48" s="21" t="s">
        <v>43</v>
      </c>
      <c r="P48" s="35">
        <f>Table256[[#This Row],[ANNUAL SALARY]]/2080</f>
        <v>55.288499999999999</v>
      </c>
      <c r="Q48" s="41">
        <v>0.04</v>
      </c>
      <c r="R48" s="22">
        <f t="shared" si="2"/>
        <v>4600.0032000000001</v>
      </c>
      <c r="S48" s="22">
        <f t="shared" si="3"/>
        <v>119600.08320000001</v>
      </c>
      <c r="T48" s="45"/>
    </row>
    <row r="49" spans="1:20" ht="24">
      <c r="A49" s="23" t="s">
        <v>108</v>
      </c>
      <c r="B49" s="23" t="s">
        <v>109</v>
      </c>
      <c r="C49" s="23" t="s">
        <v>28</v>
      </c>
      <c r="D49" s="23" t="s">
        <v>29</v>
      </c>
      <c r="E49" s="23" t="s">
        <v>41</v>
      </c>
      <c r="F49" s="23" t="s">
        <v>44</v>
      </c>
      <c r="G49" s="23" t="s">
        <v>37</v>
      </c>
      <c r="H49" s="39">
        <v>115000.08</v>
      </c>
      <c r="I49" s="20" t="s">
        <v>111</v>
      </c>
      <c r="J49" s="39">
        <v>86100.56</v>
      </c>
      <c r="K49" s="23" t="s">
        <v>34</v>
      </c>
      <c r="L49" s="36">
        <v>4100.1999999999971</v>
      </c>
      <c r="M49" s="34">
        <v>5.0002219502450929E-2</v>
      </c>
      <c r="N49" s="30">
        <v>40</v>
      </c>
      <c r="O49" s="24" t="s">
        <v>46</v>
      </c>
      <c r="P49" s="36">
        <f>Table256[[#This Row],[ANNUAL SALARY]]/2080</f>
        <v>41.394500000000001</v>
      </c>
      <c r="Q49" s="25"/>
      <c r="R49" s="1" t="str">
        <f t="shared" si="2"/>
        <v/>
      </c>
      <c r="S49" s="1" t="str">
        <f t="shared" si="3"/>
        <v/>
      </c>
    </row>
    <row r="50" spans="1:20" ht="24">
      <c r="A50" s="23" t="s">
        <v>108</v>
      </c>
      <c r="B50" s="23" t="s">
        <v>109</v>
      </c>
      <c r="C50" s="23" t="s">
        <v>28</v>
      </c>
      <c r="D50" s="23" t="s">
        <v>29</v>
      </c>
      <c r="E50" s="23" t="s">
        <v>41</v>
      </c>
      <c r="F50" s="23" t="s">
        <v>112</v>
      </c>
      <c r="G50" s="23" t="s">
        <v>37</v>
      </c>
      <c r="H50" s="39">
        <v>115000.08</v>
      </c>
      <c r="I50" s="20" t="s">
        <v>111</v>
      </c>
      <c r="J50" s="39">
        <v>82000.36</v>
      </c>
      <c r="K50" s="23" t="s">
        <v>34</v>
      </c>
      <c r="L50" s="36"/>
      <c r="M50" s="34"/>
      <c r="N50" s="30">
        <v>40</v>
      </c>
      <c r="O50" s="24" t="s">
        <v>38</v>
      </c>
      <c r="P50" s="36">
        <f>Table256[[#This Row],[ANNUAL SALARY]]/2080</f>
        <v>39.423250000000003</v>
      </c>
      <c r="Q50" s="25"/>
      <c r="R50" s="1" t="str">
        <f t="shared" si="2"/>
        <v/>
      </c>
      <c r="S50" s="1" t="str">
        <f t="shared" si="3"/>
        <v/>
      </c>
    </row>
    <row r="51" spans="1:20" ht="36">
      <c r="A51" s="19" t="s">
        <v>113</v>
      </c>
      <c r="B51" s="19" t="s">
        <v>114</v>
      </c>
      <c r="C51" s="19" t="s">
        <v>28</v>
      </c>
      <c r="D51" s="19" t="s">
        <v>29</v>
      </c>
      <c r="E51" s="19" t="s">
        <v>41</v>
      </c>
      <c r="F51" s="19" t="s">
        <v>115</v>
      </c>
      <c r="G51" s="19" t="s">
        <v>32</v>
      </c>
      <c r="H51" s="38">
        <v>110000</v>
      </c>
      <c r="I51" s="26" t="s">
        <v>116</v>
      </c>
      <c r="J51" s="38">
        <v>110000</v>
      </c>
      <c r="K51" s="19" t="s">
        <v>34</v>
      </c>
      <c r="L51" s="35"/>
      <c r="M51" s="32"/>
      <c r="N51" s="29">
        <v>40</v>
      </c>
      <c r="O51" s="21" t="s">
        <v>38</v>
      </c>
      <c r="P51" s="35">
        <f>Table256[[#This Row],[ANNUAL SALARY]]/2080</f>
        <v>52.884615384615387</v>
      </c>
      <c r="Q51" s="42">
        <v>0.04</v>
      </c>
      <c r="R51" s="22">
        <f t="shared" si="2"/>
        <v>4400</v>
      </c>
      <c r="S51" s="22">
        <f t="shared" si="3"/>
        <v>114400</v>
      </c>
      <c r="T51" s="46"/>
    </row>
    <row r="52" spans="1:20" ht="24">
      <c r="A52" s="19" t="s">
        <v>117</v>
      </c>
      <c r="B52" s="19" t="s">
        <v>118</v>
      </c>
      <c r="C52" s="19" t="s">
        <v>28</v>
      </c>
      <c r="D52" s="19" t="s">
        <v>29</v>
      </c>
      <c r="E52" s="19" t="s">
        <v>41</v>
      </c>
      <c r="F52" s="19" t="s">
        <v>119</v>
      </c>
      <c r="G52" s="19" t="s">
        <v>32</v>
      </c>
      <c r="H52" s="38">
        <v>105000</v>
      </c>
      <c r="I52" s="26" t="s">
        <v>120</v>
      </c>
      <c r="J52" s="38">
        <v>105000</v>
      </c>
      <c r="K52" s="19" t="s">
        <v>34</v>
      </c>
      <c r="L52" s="35"/>
      <c r="M52" s="32"/>
      <c r="N52" s="29">
        <v>40</v>
      </c>
      <c r="O52" s="21" t="s">
        <v>38</v>
      </c>
      <c r="P52" s="35">
        <f>Table256[[#This Row],[ANNUAL SALARY]]/2080</f>
        <v>50.480769230769234</v>
      </c>
      <c r="Q52" s="43">
        <v>0.04</v>
      </c>
      <c r="R52" s="22">
        <f t="shared" si="2"/>
        <v>4200</v>
      </c>
      <c r="S52" s="22">
        <f t="shared" si="3"/>
        <v>109200</v>
      </c>
      <c r="T52" s="47"/>
    </row>
    <row r="53" spans="1:20">
      <c r="A53" s="19" t="s">
        <v>121</v>
      </c>
      <c r="B53" s="19" t="s">
        <v>122</v>
      </c>
      <c r="C53" s="19" t="s">
        <v>28</v>
      </c>
      <c r="D53" s="19" t="s">
        <v>29</v>
      </c>
      <c r="E53" s="19" t="s">
        <v>41</v>
      </c>
      <c r="F53" s="19" t="s">
        <v>51</v>
      </c>
      <c r="G53" s="19" t="s">
        <v>32</v>
      </c>
      <c r="H53" s="38">
        <v>90000</v>
      </c>
      <c r="I53" s="26" t="s">
        <v>123</v>
      </c>
      <c r="J53" s="38">
        <v>90000</v>
      </c>
      <c r="K53" s="19" t="s">
        <v>34</v>
      </c>
      <c r="L53" s="35"/>
      <c r="M53" s="32"/>
      <c r="N53" s="29">
        <v>40</v>
      </c>
      <c r="O53" s="21" t="s">
        <v>38</v>
      </c>
      <c r="P53" s="35">
        <f>Table256[[#This Row],[ANNUAL SALARY]]/2080</f>
        <v>43.269230769230766</v>
      </c>
      <c r="Q53" s="43">
        <v>0.04</v>
      </c>
      <c r="R53" s="22">
        <f t="shared" si="2"/>
        <v>3600</v>
      </c>
      <c r="S53" s="22">
        <f t="shared" si="3"/>
        <v>93600</v>
      </c>
      <c r="T53" s="47"/>
    </row>
    <row r="54" spans="1:20" ht="24">
      <c r="A54" s="19" t="s">
        <v>124</v>
      </c>
      <c r="B54" s="19" t="s">
        <v>125</v>
      </c>
      <c r="C54" s="19" t="s">
        <v>28</v>
      </c>
      <c r="D54" s="19" t="s">
        <v>29</v>
      </c>
      <c r="E54" s="19" t="s">
        <v>41</v>
      </c>
      <c r="F54" s="19" t="s">
        <v>126</v>
      </c>
      <c r="G54" s="19" t="s">
        <v>32</v>
      </c>
      <c r="H54" s="38">
        <v>100000</v>
      </c>
      <c r="I54" s="26" t="s">
        <v>127</v>
      </c>
      <c r="J54" s="38">
        <v>100000</v>
      </c>
      <c r="K54" s="19" t="s">
        <v>34</v>
      </c>
      <c r="L54" s="35"/>
      <c r="M54" s="32"/>
      <c r="N54" s="29">
        <v>40</v>
      </c>
      <c r="O54" s="21" t="s">
        <v>38</v>
      </c>
      <c r="P54" s="35">
        <f>Table256[[#This Row],[ANNUAL SALARY]]/2080</f>
        <v>48.07692307692308</v>
      </c>
      <c r="Q54" s="44">
        <v>0.04</v>
      </c>
      <c r="R54" s="22">
        <f t="shared" si="2"/>
        <v>4000</v>
      </c>
      <c r="S54" s="22">
        <f t="shared" si="3"/>
        <v>104000</v>
      </c>
      <c r="T54" s="48"/>
    </row>
  </sheetData>
  <sheetProtection sheet="1" autoFilter="0"/>
  <conditionalFormatting sqref="T1">
    <cfRule type="cellIs" dxfId="24" priority="3" operator="greaterThanOrEqual">
      <formula>0</formula>
    </cfRule>
    <cfRule type="cellIs" dxfId="23" priority="4" operator="lessThan">
      <formula>0</formula>
    </cfRule>
  </conditionalFormatting>
  <conditionalFormatting sqref="T3">
    <cfRule type="cellIs" dxfId="22" priority="1" operator="lessThanOrEqual">
      <formula>0.04</formula>
    </cfRule>
    <cfRule type="cellIs" dxfId="21" priority="2" operator="greaterThan">
      <formula>0.04</formula>
    </cfRule>
  </conditionalFormatting>
  <pageMargins left="0.25" right="0.25" top="0.75" bottom="0.75" header="0.25" footer="0.25"/>
  <pageSetup paperSize="9" orientation="portrait"/>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Jordan</dc:creator>
  <cp:keywords/>
  <dc:description/>
  <cp:lastModifiedBy>Stevie Jordan</cp:lastModifiedBy>
  <cp:revision/>
  <dcterms:created xsi:type="dcterms:W3CDTF">2024-01-22T14:50:33Z</dcterms:created>
  <dcterms:modified xsi:type="dcterms:W3CDTF">2026-08-17T23:19:56Z</dcterms:modified>
  <cp:category/>
  <cp:contentStatus/>
</cp:coreProperties>
</file>